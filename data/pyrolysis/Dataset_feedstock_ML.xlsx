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lou\PycharmProjects\PythonProject\Residual_Carbon\data\pyrolysis\"/>
    </mc:Choice>
  </mc:AlternateContent>
  <xr:revisionPtr revIDLastSave="0" documentId="13_ncr:1_{FB6CF3BA-F4C6-427C-B6A9-EFEFF931D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ochar Properties 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rJgG+fwr8Q8nR8ffDPacB9cC2p6DFwuc/3JstDmtbM=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<sst xmlns="http://schemas.openxmlformats.org/spreadsheetml/2006/main" count="218" uniqueCount="94">
  <si>
    <t>index</t>
  </si>
  <si>
    <t>Type</t>
  </si>
  <si>
    <t>Origin</t>
  </si>
  <si>
    <t>Cellulose</t>
  </si>
  <si>
    <t>Hemicellulose</t>
  </si>
  <si>
    <t>Lignin</t>
  </si>
  <si>
    <t>Ash content</t>
  </si>
  <si>
    <t>Moisture content</t>
  </si>
  <si>
    <t>O (%)</t>
  </si>
  <si>
    <t>C (%)</t>
  </si>
  <si>
    <t>Fixed carbon content</t>
  </si>
  <si>
    <t>Volatile matter</t>
  </si>
  <si>
    <t>Final Temperature</t>
  </si>
  <si>
    <t>Heating Rate</t>
  </si>
  <si>
    <t>"Residence Time" (min)</t>
  </si>
  <si>
    <t>Type of Reactor</t>
  </si>
  <si>
    <t>Biochar Yield (%)</t>
  </si>
  <si>
    <t>H/C ratio</t>
  </si>
  <si>
    <t>O/C ratio</t>
  </si>
  <si>
    <t>pH</t>
  </si>
  <si>
    <t>pore size</t>
  </si>
  <si>
    <t>Neem Wood</t>
  </si>
  <si>
    <t>India</t>
  </si>
  <si>
    <t>0.05 m²/g; 0.34 cm³/g</t>
  </si>
  <si>
    <t>0.03 m²/g; 0.27 cm³/g</t>
  </si>
  <si>
    <t>Furniture Waste Wood</t>
  </si>
  <si>
    <t>0.05 m²/g; 0.8 cm³/g</t>
  </si>
  <si>
    <t>Sugarcane bagasse</t>
  </si>
  <si>
    <t>Brazil</t>
  </si>
  <si>
    <t>Coffee Silverskin</t>
  </si>
  <si>
    <t>Sugarcane Bagasse</t>
  </si>
  <si>
    <t>916-950</t>
  </si>
  <si>
    <t>CFB gasifier</t>
  </si>
  <si>
    <t>Sugarcane Straw</t>
  </si>
  <si>
    <t>Energy Cane Bagasse</t>
  </si>
  <si>
    <t>Corn Straw</t>
  </si>
  <si>
    <t>Rice Husk</t>
  </si>
  <si>
    <t>Soybean Straw</t>
  </si>
  <si>
    <t>Eucalyptus</t>
  </si>
  <si>
    <t xml:space="preserve">Pinus Radiata </t>
  </si>
  <si>
    <t>Walnut Shell</t>
  </si>
  <si>
    <t>China</t>
  </si>
  <si>
    <t>600-1000</t>
  </si>
  <si>
    <t>fixed bed</t>
  </si>
  <si>
    <t>Corn Stalk</t>
  </si>
  <si>
    <t>Brazil Nut Shell</t>
  </si>
  <si>
    <t>microporous baseline</t>
  </si>
  <si>
    <t>Brazil Nut Shell Char</t>
  </si>
  <si>
    <t xml:space="preserve">4.2 m^2/g </t>
  </si>
  <si>
    <t>Babassu Nut Shell</t>
  </si>
  <si>
    <t>Coconut Shell</t>
  </si>
  <si>
    <t>Sawdust</t>
  </si>
  <si>
    <t xml:space="preserve">India </t>
  </si>
  <si>
    <t>Mixed Wood Waste</t>
  </si>
  <si>
    <t>Oak</t>
  </si>
  <si>
    <t>USA</t>
  </si>
  <si>
    <t>Pine</t>
  </si>
  <si>
    <t>Corn cob</t>
  </si>
  <si>
    <t>Wood Sawdust</t>
  </si>
  <si>
    <t>Spent Coffee Ground</t>
  </si>
  <si>
    <t>Spain</t>
  </si>
  <si>
    <t>Feedstock</t>
  </si>
  <si>
    <t>Name</t>
  </si>
  <si>
    <t>Cellulose (wt% d.b.)</t>
  </si>
  <si>
    <t>Hemicellulose (wt% d.b.)</t>
  </si>
  <si>
    <t>Lignin (wt% d.b.)</t>
  </si>
  <si>
    <t>Moisture Content (%)</t>
  </si>
  <si>
    <t>ash content (wt% d.b.)</t>
  </si>
  <si>
    <t>Heating rate (°C/min)</t>
  </si>
  <si>
    <t>Temperature (°C)</t>
  </si>
  <si>
    <t>Residence time (min) (without cooling phase)</t>
  </si>
  <si>
    <t>biochar yield (wt% d.b.)</t>
  </si>
  <si>
    <t>fixed carbon of biochar (wt% d.b.)</t>
  </si>
  <si>
    <t>Ash content of biochar (wt%)</t>
  </si>
  <si>
    <t>moisture content (wt%)</t>
  </si>
  <si>
    <t>%C</t>
  </si>
  <si>
    <t>%H</t>
  </si>
  <si>
    <t>H/C of biochar</t>
  </si>
  <si>
    <t>pore volume (cm^3/g)</t>
  </si>
  <si>
    <t>pore surface area (m^2/g)2</t>
  </si>
  <si>
    <t>biochar pH</t>
  </si>
  <si>
    <t>Weight loss (%wt)</t>
  </si>
  <si>
    <t>Source</t>
  </si>
  <si>
    <t>DOI</t>
  </si>
  <si>
    <t>10.1016/j.jaap.2014.02.018</t>
  </si>
  <si>
    <t>10.1016/j.seta.2021.101025</t>
  </si>
  <si>
    <t>10.1016/j.scitotenv.2019.136429</t>
  </si>
  <si>
    <t>10.1016/j.biombioe.2017.06.024</t>
  </si>
  <si>
    <t>10.1016/j.biombioe.2019.105341</t>
  </si>
  <si>
    <t>10.1016/j.energy.2020.117793</t>
  </si>
  <si>
    <t>10.1016/j.mset.2024.01.003</t>
  </si>
  <si>
    <t>10.1016/j.biortech.2014.07.077</t>
  </si>
  <si>
    <r>
      <rPr>
        <u/>
        <sz val="11"/>
        <color rgb="FF1155CC"/>
        <rFont val="Aptos Narrow"/>
        <family val="2"/>
      </rPr>
      <t>https://doi.org/10.1016/j.wasman.2019.04.016</t>
    </r>
  </si>
  <si>
    <t>https://www.mdpi.com/1996-1073/16/5/2300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</si>
</sst>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11"/>
      <color rgb="FFFFFFFF"/>
      <name val="&quot;Aptos Narrow&quot;"/>
    </font>
    <font>
      <b/>
      <sz val="11"/>
      <color theme="1"/>
      <name val="Aptos Narrow"/>
      <family val="2"/>
      <scheme val="minor"/>
    </font>
    <font>
      <u/>
      <sz val="11"/>
      <color rgb="FF0000FF"/>
      <name val="Aptos Narrow"/>
      <family val="2"/>
    </font>
    <font>
      <u/>
      <sz val="11"/>
      <color rgb="FF000000"/>
      <name val="&quot;Aptos Narrow&quot;"/>
    </font>
    <font>
      <u/>
      <sz val="11"/>
      <color rgb="FF1155CC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56082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2" fillId="2" borderId="0" xfId="0" applyFont="1" applyFill="1"/>
    <xf numFmtId="0" fontId="5" fillId="3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dpi.com/1996-1073/16/5/2300" TargetMode="External"/><Relationship Id="rId1" Type="http://schemas.openxmlformats.org/officeDocument/2006/relationships/hyperlink" Target="https://doi.org/10.1016/j.wasman.2019.04.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/>
  </sheetViews>
  <sheetFormatPr defaultColWidth="12.6640625" defaultRowHeight="15" customHeight="1"/>
  <cols>
    <col min="1" max="1" width="10.109375" customWidth="1"/>
    <col min="2" max="2" width="19.21875" customWidth="1"/>
    <col min="3" max="3" width="18.21875" customWidth="1"/>
    <col min="4" max="4" width="22.44140625" customWidth="1"/>
    <col min="5" max="5" width="15.6640625" customWidth="1"/>
    <col min="6" max="6" width="19.33203125" customWidth="1"/>
    <col min="7" max="7" width="20.44140625" customWidth="1"/>
    <col min="8" max="8" width="19.109375" customWidth="1"/>
    <col min="9" max="9" width="15.77734375" customWidth="1"/>
    <col min="10" max="10" width="23.6640625" customWidth="1"/>
    <col min="11" max="11" width="21.44140625" customWidth="1"/>
    <col min="12" max="12" width="19.44140625" customWidth="1"/>
    <col min="13" max="13" width="26.33203125" customWidth="1"/>
    <col min="14" max="14" width="21.21875" customWidth="1"/>
    <col min="15" max="15" width="20.109375" customWidth="1"/>
    <col min="16" max="16" width="13.33203125" customWidth="1"/>
    <col min="17" max="17" width="15.109375" customWidth="1"/>
    <col min="18" max="18" width="20" customWidth="1"/>
    <col min="19" max="19" width="24.33203125" customWidth="1"/>
    <col min="20" max="20" width="10.6640625" customWidth="1"/>
    <col min="21" max="21" width="18.33203125" customWidth="1"/>
    <col min="22" max="22" width="8.109375" customWidth="1"/>
  </cols>
  <sheetData>
    <row r="1" spans="1:2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ht="14.25" customHeight="1">
      <c r="A2" s="1">
        <v>0</v>
      </c>
      <c r="B2" s="2" t="s">
        <v>21</v>
      </c>
      <c r="C2" s="2" t="s">
        <v>22</v>
      </c>
      <c r="D2" s="2">
        <v>46.54</v>
      </c>
      <c r="E2" s="2">
        <v>17.78</v>
      </c>
      <c r="F2" s="2">
        <v>25.76</v>
      </c>
      <c r="H2" s="2">
        <v>10.1</v>
      </c>
      <c r="K2" s="2">
        <v>35</v>
      </c>
      <c r="L2" s="2">
        <v>58</v>
      </c>
      <c r="M2" s="2">
        <v>300</v>
      </c>
      <c r="O2" s="2">
        <v>60</v>
      </c>
      <c r="Q2" s="2">
        <v>31.5</v>
      </c>
      <c r="T2" s="2">
        <v>6.9</v>
      </c>
      <c r="U2" s="1" t="s">
        <v>23</v>
      </c>
      <c r="V2" s="1"/>
    </row>
    <row r="3" spans="1:22" ht="14.25" customHeight="1">
      <c r="A3" s="1">
        <f t="shared" ref="A3:A53" si="0">A2+1</f>
        <v>1</v>
      </c>
      <c r="B3" s="2" t="s">
        <v>21</v>
      </c>
      <c r="C3" s="2" t="s">
        <v>22</v>
      </c>
      <c r="D3" s="2">
        <v>46.54</v>
      </c>
      <c r="E3" s="2">
        <v>17.78</v>
      </c>
      <c r="F3" s="2">
        <v>25.76</v>
      </c>
      <c r="H3" s="2">
        <v>10.1</v>
      </c>
      <c r="K3" s="2">
        <v>20</v>
      </c>
      <c r="L3" s="2">
        <v>71</v>
      </c>
      <c r="M3" s="2">
        <v>500</v>
      </c>
      <c r="O3" s="2">
        <v>60</v>
      </c>
      <c r="Q3" s="2">
        <v>4.5</v>
      </c>
      <c r="T3" s="2">
        <v>7.7</v>
      </c>
      <c r="U3" s="1" t="s">
        <v>24</v>
      </c>
      <c r="V3" s="1"/>
    </row>
    <row r="4" spans="1:22" ht="14.25" customHeight="1">
      <c r="A4" s="1">
        <f t="shared" si="0"/>
        <v>2</v>
      </c>
      <c r="B4" s="2" t="s">
        <v>25</v>
      </c>
      <c r="D4" s="2">
        <v>24.02</v>
      </c>
      <c r="E4" s="2">
        <v>18.46</v>
      </c>
      <c r="F4" s="2">
        <v>46.4</v>
      </c>
      <c r="H4" s="2">
        <v>11.37</v>
      </c>
      <c r="K4" s="2">
        <v>12</v>
      </c>
      <c r="L4" s="2">
        <v>82</v>
      </c>
      <c r="M4" s="2">
        <v>300</v>
      </c>
      <c r="O4" s="2">
        <v>60</v>
      </c>
      <c r="Q4" s="2">
        <v>18</v>
      </c>
      <c r="T4" s="2">
        <v>7.1</v>
      </c>
      <c r="U4" s="1" t="s">
        <v>26</v>
      </c>
      <c r="V4" s="1"/>
    </row>
    <row r="5" spans="1:22" ht="14.25" customHeight="1">
      <c r="A5" s="1">
        <f t="shared" si="0"/>
        <v>3</v>
      </c>
      <c r="B5" s="2" t="s">
        <v>25</v>
      </c>
      <c r="D5" s="2">
        <v>24.02</v>
      </c>
      <c r="E5" s="1">
        <v>18.46</v>
      </c>
      <c r="F5" s="2">
        <v>46.4</v>
      </c>
      <c r="H5" s="2">
        <v>11.37</v>
      </c>
      <c r="K5" s="2">
        <v>10</v>
      </c>
      <c r="L5" s="2">
        <v>81</v>
      </c>
      <c r="M5" s="2">
        <v>500</v>
      </c>
      <c r="O5" s="2">
        <v>60</v>
      </c>
      <c r="Q5" s="2">
        <v>5.5</v>
      </c>
      <c r="T5" s="2">
        <v>8.1999999999999993</v>
      </c>
      <c r="U5" s="1" t="s">
        <v>26</v>
      </c>
      <c r="V5" s="1"/>
    </row>
    <row r="6" spans="1:22" ht="14.25" customHeight="1">
      <c r="A6" s="1">
        <f t="shared" si="0"/>
        <v>4</v>
      </c>
      <c r="B6" s="2" t="s">
        <v>27</v>
      </c>
      <c r="C6" s="2" t="s">
        <v>28</v>
      </c>
      <c r="D6" s="2">
        <v>36.56</v>
      </c>
      <c r="E6" s="2">
        <v>28.38</v>
      </c>
      <c r="F6" s="2">
        <v>22.02</v>
      </c>
      <c r="G6" s="2">
        <v>10</v>
      </c>
      <c r="K6" s="2">
        <v>56.77</v>
      </c>
      <c r="L6" s="2">
        <v>35.11</v>
      </c>
      <c r="M6" s="2">
        <v>450</v>
      </c>
      <c r="N6" s="2">
        <v>10</v>
      </c>
      <c r="Q6" s="2">
        <v>26.04</v>
      </c>
      <c r="T6" s="2">
        <v>7.87</v>
      </c>
    </row>
    <row r="7" spans="1:22" ht="14.25" customHeight="1">
      <c r="A7" s="1">
        <f t="shared" si="0"/>
        <v>5</v>
      </c>
      <c r="B7" s="2" t="s">
        <v>29</v>
      </c>
      <c r="C7" s="2" t="s">
        <v>28</v>
      </c>
      <c r="D7" s="2">
        <v>33.700000000000003</v>
      </c>
      <c r="E7" s="2">
        <v>4.7</v>
      </c>
      <c r="F7" s="2">
        <v>33.1</v>
      </c>
      <c r="G7" s="2">
        <v>6.3</v>
      </c>
      <c r="H7" s="2">
        <v>9.4</v>
      </c>
      <c r="I7" s="2">
        <v>22.06</v>
      </c>
      <c r="J7" s="2">
        <v>56.9</v>
      </c>
      <c r="K7" s="2">
        <v>18</v>
      </c>
      <c r="L7" s="2"/>
      <c r="M7" s="2">
        <v>300</v>
      </c>
      <c r="N7" s="2">
        <v>15</v>
      </c>
      <c r="O7" s="2">
        <v>80</v>
      </c>
      <c r="Q7" s="2">
        <v>51</v>
      </c>
      <c r="R7" s="2">
        <v>1.04</v>
      </c>
      <c r="S7" s="2">
        <v>0.28999999999999998</v>
      </c>
      <c r="T7" s="2">
        <v>3.9</v>
      </c>
    </row>
    <row r="8" spans="1:22" ht="14.25" customHeight="1">
      <c r="A8" s="1">
        <f t="shared" si="0"/>
        <v>6</v>
      </c>
      <c r="B8" s="2" t="s">
        <v>30</v>
      </c>
      <c r="C8" s="2" t="s">
        <v>28</v>
      </c>
      <c r="D8" s="2">
        <v>40</v>
      </c>
      <c r="E8" s="2">
        <v>28</v>
      </c>
      <c r="F8" s="2">
        <v>20</v>
      </c>
      <c r="G8" s="2">
        <v>2.94</v>
      </c>
      <c r="H8" s="2">
        <v>10</v>
      </c>
      <c r="I8" s="2">
        <v>44.05</v>
      </c>
      <c r="J8" s="2">
        <v>46.96</v>
      </c>
      <c r="K8" s="2">
        <v>11.7</v>
      </c>
      <c r="L8" s="2">
        <v>79.06</v>
      </c>
      <c r="M8" s="2" t="s">
        <v>31</v>
      </c>
      <c r="P8" s="2" t="s">
        <v>32</v>
      </c>
    </row>
    <row r="9" spans="1:22" ht="14.25" customHeight="1">
      <c r="A9" s="1">
        <f t="shared" si="0"/>
        <v>7</v>
      </c>
      <c r="B9" s="2" t="s">
        <v>33</v>
      </c>
      <c r="C9" s="2" t="s">
        <v>28</v>
      </c>
      <c r="D9" s="2">
        <v>41</v>
      </c>
      <c r="E9" s="2">
        <v>29</v>
      </c>
      <c r="F9" s="2">
        <v>19</v>
      </c>
      <c r="G9" s="2">
        <v>2.73</v>
      </c>
      <c r="H9" s="2">
        <v>10</v>
      </c>
      <c r="I9" s="2">
        <v>43.52</v>
      </c>
      <c r="J9" s="2">
        <v>46.76</v>
      </c>
      <c r="K9" s="2">
        <v>9.9</v>
      </c>
      <c r="L9" s="2">
        <v>85.5</v>
      </c>
      <c r="M9" s="2" t="s">
        <v>31</v>
      </c>
      <c r="P9" s="2" t="s">
        <v>32</v>
      </c>
    </row>
    <row r="10" spans="1:22" ht="14.25" customHeight="1">
      <c r="A10" s="1">
        <f t="shared" si="0"/>
        <v>8</v>
      </c>
      <c r="B10" s="2" t="s">
        <v>34</v>
      </c>
      <c r="C10" s="2" t="s">
        <v>28</v>
      </c>
      <c r="D10" s="2">
        <v>42</v>
      </c>
      <c r="E10" s="2">
        <v>28</v>
      </c>
      <c r="F10" s="2">
        <v>20</v>
      </c>
      <c r="G10" s="2">
        <v>4.5</v>
      </c>
      <c r="H10" s="2">
        <v>10</v>
      </c>
      <c r="I10" s="2">
        <v>40.78</v>
      </c>
      <c r="J10" s="2">
        <v>48.6</v>
      </c>
      <c r="K10" s="2">
        <v>17.2</v>
      </c>
      <c r="L10" s="2">
        <v>85.6</v>
      </c>
      <c r="M10" s="2" t="s">
        <v>31</v>
      </c>
      <c r="P10" s="2" t="s">
        <v>32</v>
      </c>
    </row>
    <row r="11" spans="1:22" ht="14.25" customHeight="1">
      <c r="A11" s="1">
        <f t="shared" si="0"/>
        <v>9</v>
      </c>
      <c r="B11" s="2" t="s">
        <v>35</v>
      </c>
      <c r="C11" s="2" t="s">
        <v>28</v>
      </c>
      <c r="D11" s="2">
        <v>38</v>
      </c>
      <c r="E11" s="2">
        <v>30</v>
      </c>
      <c r="F11" s="2">
        <v>17</v>
      </c>
      <c r="G11" s="2">
        <v>6.95</v>
      </c>
      <c r="H11" s="2">
        <v>10</v>
      </c>
      <c r="I11" s="2">
        <v>42.53</v>
      </c>
      <c r="J11" s="2">
        <v>43.05</v>
      </c>
      <c r="K11" s="2">
        <v>17.2</v>
      </c>
      <c r="L11" s="2">
        <v>75.900000000000006</v>
      </c>
      <c r="M11" s="2" t="s">
        <v>31</v>
      </c>
      <c r="P11" s="2" t="s">
        <v>32</v>
      </c>
    </row>
    <row r="12" spans="1:22" ht="14.25" customHeight="1">
      <c r="A12" s="1">
        <f t="shared" si="0"/>
        <v>10</v>
      </c>
      <c r="B12" s="2" t="s">
        <v>36</v>
      </c>
      <c r="C12" s="2" t="s">
        <v>28</v>
      </c>
      <c r="D12" s="2">
        <v>34</v>
      </c>
      <c r="E12" s="2">
        <v>26</v>
      </c>
      <c r="F12" s="2">
        <v>20</v>
      </c>
      <c r="G12" s="2">
        <v>16.899999999999999</v>
      </c>
      <c r="H12" s="2">
        <v>10</v>
      </c>
      <c r="I12" s="2">
        <v>37.450000000000003</v>
      </c>
      <c r="J12" s="2">
        <v>38.4</v>
      </c>
      <c r="K12" s="2">
        <v>20.9</v>
      </c>
      <c r="L12" s="2">
        <v>62.2</v>
      </c>
      <c r="M12" s="2" t="s">
        <v>31</v>
      </c>
      <c r="P12" s="2" t="s">
        <v>32</v>
      </c>
    </row>
    <row r="13" spans="1:22" ht="14.25" customHeight="1">
      <c r="A13" s="1">
        <f t="shared" si="0"/>
        <v>11</v>
      </c>
      <c r="B13" s="2" t="s">
        <v>37</v>
      </c>
      <c r="C13" s="2" t="s">
        <v>28</v>
      </c>
      <c r="D13" s="2">
        <v>37</v>
      </c>
      <c r="E13" s="2">
        <v>31</v>
      </c>
      <c r="F13" s="2">
        <v>18</v>
      </c>
      <c r="G13" s="2">
        <v>4.7</v>
      </c>
      <c r="H13" s="2">
        <v>10</v>
      </c>
      <c r="I13" s="2">
        <v>42.18</v>
      </c>
      <c r="J13" s="2">
        <v>45.51</v>
      </c>
      <c r="K13" s="2">
        <v>19.8</v>
      </c>
      <c r="L13" s="2">
        <v>75.5</v>
      </c>
      <c r="M13" s="2" t="s">
        <v>31</v>
      </c>
      <c r="P13" s="2" t="s">
        <v>32</v>
      </c>
    </row>
    <row r="14" spans="1:22" ht="14.25" customHeight="1">
      <c r="A14" s="1">
        <f t="shared" si="0"/>
        <v>12</v>
      </c>
      <c r="B14" s="2" t="s">
        <v>38</v>
      </c>
      <c r="C14" s="2" t="s">
        <v>28</v>
      </c>
      <c r="D14" s="2">
        <v>40</v>
      </c>
      <c r="E14" s="2">
        <v>28</v>
      </c>
      <c r="F14" s="2">
        <v>23</v>
      </c>
      <c r="G14" s="2">
        <v>0.5</v>
      </c>
      <c r="H14" s="2">
        <v>10</v>
      </c>
      <c r="I14" s="2">
        <v>43.9</v>
      </c>
      <c r="J14" s="2">
        <v>50.1</v>
      </c>
      <c r="K14" s="2">
        <v>14.7</v>
      </c>
      <c r="L14" s="2">
        <v>84.8</v>
      </c>
      <c r="M14" s="2" t="s">
        <v>31</v>
      </c>
      <c r="P14" s="2" t="s">
        <v>32</v>
      </c>
    </row>
    <row r="15" spans="1:22" ht="14.25" customHeight="1">
      <c r="A15" s="1">
        <f t="shared" si="0"/>
        <v>13</v>
      </c>
      <c r="B15" s="2" t="s">
        <v>39</v>
      </c>
      <c r="C15" s="2" t="s">
        <v>28</v>
      </c>
      <c r="D15" s="2">
        <v>38</v>
      </c>
      <c r="E15" s="2">
        <v>30</v>
      </c>
      <c r="F15" s="2">
        <v>22</v>
      </c>
      <c r="G15" s="2">
        <v>3.18</v>
      </c>
      <c r="H15" s="2">
        <v>10</v>
      </c>
      <c r="I15" s="2">
        <v>39.29</v>
      </c>
      <c r="J15" s="2">
        <v>49.92</v>
      </c>
      <c r="K15" s="2">
        <v>20.2</v>
      </c>
      <c r="L15" s="2">
        <v>76.599999999999994</v>
      </c>
      <c r="M15" s="2" t="s">
        <v>31</v>
      </c>
      <c r="P15" s="2" t="s">
        <v>32</v>
      </c>
    </row>
    <row r="16" spans="1:22" ht="14.25" customHeight="1">
      <c r="A16" s="1">
        <f t="shared" si="0"/>
        <v>14</v>
      </c>
      <c r="B16" s="2" t="s">
        <v>40</v>
      </c>
      <c r="C16" s="2" t="s">
        <v>41</v>
      </c>
      <c r="D16" s="2">
        <v>25</v>
      </c>
      <c r="E16" s="2">
        <v>30</v>
      </c>
      <c r="F16" s="2">
        <v>35</v>
      </c>
      <c r="G16" s="2">
        <v>0.95</v>
      </c>
      <c r="H16" s="2">
        <v>1.9</v>
      </c>
      <c r="I16" s="2">
        <v>40.630000000000003</v>
      </c>
      <c r="J16" s="2">
        <v>51.1</v>
      </c>
      <c r="K16" s="2">
        <v>17.8</v>
      </c>
      <c r="L16" s="2">
        <v>79.400000000000006</v>
      </c>
      <c r="M16" s="2" t="s">
        <v>42</v>
      </c>
      <c r="N16" s="2">
        <v>9</v>
      </c>
      <c r="O16" s="2">
        <v>60</v>
      </c>
      <c r="P16" s="2" t="s">
        <v>43</v>
      </c>
    </row>
    <row r="17" spans="1:22" ht="14.25" customHeight="1">
      <c r="A17" s="1">
        <f t="shared" si="0"/>
        <v>15</v>
      </c>
      <c r="B17" s="2" t="s">
        <v>44</v>
      </c>
      <c r="C17" s="2" t="s">
        <v>41</v>
      </c>
      <c r="D17" s="2">
        <v>40</v>
      </c>
      <c r="E17" s="2">
        <v>35</v>
      </c>
      <c r="F17" s="2">
        <v>18</v>
      </c>
      <c r="G17" s="2">
        <v>8</v>
      </c>
      <c r="H17" s="2">
        <v>9.3000000000000007</v>
      </c>
      <c r="I17" s="2">
        <v>29.6</v>
      </c>
      <c r="J17" s="2">
        <v>44.41</v>
      </c>
      <c r="K17" s="2">
        <v>4.8</v>
      </c>
      <c r="L17" s="2">
        <v>77.8</v>
      </c>
      <c r="M17" s="2" t="s">
        <v>42</v>
      </c>
      <c r="N17" s="2">
        <v>9</v>
      </c>
      <c r="O17" s="2">
        <v>60</v>
      </c>
      <c r="P17" s="2" t="s">
        <v>43</v>
      </c>
    </row>
    <row r="18" spans="1:22" ht="14.25" customHeight="1">
      <c r="A18" s="1">
        <f t="shared" si="0"/>
        <v>16</v>
      </c>
      <c r="B18" s="2" t="s">
        <v>45</v>
      </c>
      <c r="C18" s="2" t="s">
        <v>28</v>
      </c>
      <c r="D18" s="2">
        <v>48.5</v>
      </c>
      <c r="F18" s="2">
        <v>59.4</v>
      </c>
      <c r="G18" s="2">
        <v>1.7</v>
      </c>
      <c r="I18" s="2">
        <v>43.5</v>
      </c>
      <c r="J18" s="2">
        <v>50</v>
      </c>
      <c r="K18" s="2">
        <v>22.2</v>
      </c>
      <c r="L18" s="2">
        <v>76.099999999999994</v>
      </c>
      <c r="R18" s="2">
        <v>0.14000000000000001</v>
      </c>
      <c r="S18" s="2">
        <v>0.87</v>
      </c>
      <c r="U18" s="2" t="s">
        <v>46</v>
      </c>
      <c r="V18" s="2"/>
    </row>
    <row r="19" spans="1:22" ht="14.25" customHeight="1">
      <c r="A19" s="1">
        <f t="shared" si="0"/>
        <v>17</v>
      </c>
      <c r="B19" s="2" t="s">
        <v>47</v>
      </c>
      <c r="C19" s="2" t="s">
        <v>28</v>
      </c>
      <c r="D19" s="2">
        <v>48.5</v>
      </c>
      <c r="F19" s="2">
        <v>59.4</v>
      </c>
      <c r="G19" s="2">
        <v>1.7</v>
      </c>
      <c r="I19" s="2">
        <v>27</v>
      </c>
      <c r="J19" s="2">
        <v>67.3</v>
      </c>
      <c r="K19" s="2">
        <v>50.1</v>
      </c>
      <c r="L19" s="2">
        <v>48.2</v>
      </c>
      <c r="M19" s="2">
        <v>350</v>
      </c>
      <c r="N19" s="2">
        <v>15</v>
      </c>
      <c r="O19" s="2">
        <v>60</v>
      </c>
      <c r="P19" s="2" t="s">
        <v>43</v>
      </c>
      <c r="R19" s="2">
        <v>0.04</v>
      </c>
      <c r="S19" s="2">
        <v>0.4</v>
      </c>
      <c r="U19" s="2" t="s">
        <v>46</v>
      </c>
      <c r="V19" s="2"/>
    </row>
    <row r="20" spans="1:22" ht="14.25" customHeight="1">
      <c r="A20" s="1">
        <f t="shared" si="0"/>
        <v>18</v>
      </c>
      <c r="B20" s="2" t="s">
        <v>47</v>
      </c>
      <c r="C20" s="2" t="s">
        <v>28</v>
      </c>
      <c r="D20" s="2">
        <v>48.5</v>
      </c>
      <c r="F20" s="2">
        <v>59.4</v>
      </c>
      <c r="G20" s="2">
        <v>2.9</v>
      </c>
      <c r="I20" s="2">
        <v>6.5</v>
      </c>
      <c r="J20" s="2">
        <v>89.5</v>
      </c>
      <c r="K20" s="2">
        <v>89.5</v>
      </c>
      <c r="L20" s="2">
        <v>18.2</v>
      </c>
      <c r="M20" s="2">
        <v>600</v>
      </c>
      <c r="N20" s="2">
        <v>15</v>
      </c>
      <c r="O20" s="2">
        <v>60</v>
      </c>
      <c r="P20" s="2" t="s">
        <v>43</v>
      </c>
      <c r="R20" s="2">
        <v>0.03</v>
      </c>
      <c r="S20" s="2">
        <v>7.0000000000000007E-2</v>
      </c>
      <c r="U20" s="2" t="s">
        <v>48</v>
      </c>
      <c r="V20" s="2"/>
    </row>
    <row r="21" spans="1:22" ht="14.25" customHeight="1">
      <c r="A21" s="1">
        <f t="shared" si="0"/>
        <v>19</v>
      </c>
      <c r="B21" s="2" t="s">
        <v>47</v>
      </c>
      <c r="C21" s="2" t="s">
        <v>28</v>
      </c>
      <c r="D21" s="2">
        <v>48.5</v>
      </c>
      <c r="F21" s="2">
        <v>59.4</v>
      </c>
      <c r="G21" s="2">
        <v>3.4</v>
      </c>
      <c r="I21" s="2">
        <v>2.9</v>
      </c>
      <c r="J21" s="2">
        <v>94.7</v>
      </c>
      <c r="K21" s="2">
        <v>91.3</v>
      </c>
      <c r="L21" s="2">
        <v>5.3</v>
      </c>
      <c r="M21" s="2">
        <v>850</v>
      </c>
      <c r="N21" s="2">
        <v>15</v>
      </c>
      <c r="O21" s="2">
        <v>60</v>
      </c>
      <c r="P21" s="2" t="s">
        <v>43</v>
      </c>
      <c r="R21" s="2">
        <v>0.01</v>
      </c>
      <c r="S21" s="2">
        <v>0.03</v>
      </c>
    </row>
    <row r="22" spans="1:22" ht="14.25" customHeight="1">
      <c r="A22" s="1">
        <f t="shared" si="0"/>
        <v>20</v>
      </c>
      <c r="B22" s="2" t="s">
        <v>49</v>
      </c>
      <c r="C22" s="2" t="s">
        <v>28</v>
      </c>
      <c r="D22" s="2">
        <v>37.5</v>
      </c>
      <c r="E22" s="2">
        <v>26.5</v>
      </c>
      <c r="F22" s="2">
        <v>30.2</v>
      </c>
      <c r="G22" s="2">
        <v>2.2000000000000002</v>
      </c>
      <c r="H22" s="2">
        <v>9.8000000000000007</v>
      </c>
      <c r="I22" s="2">
        <v>14.8</v>
      </c>
      <c r="J22" s="2">
        <v>78.3</v>
      </c>
      <c r="K22" s="2">
        <v>68.5</v>
      </c>
      <c r="L22" s="2">
        <v>22.7</v>
      </c>
      <c r="M22" s="2">
        <v>450</v>
      </c>
      <c r="N22" s="2">
        <v>10</v>
      </c>
      <c r="O22" s="2">
        <v>45</v>
      </c>
      <c r="P22" s="2" t="s">
        <v>43</v>
      </c>
      <c r="Q22" s="2">
        <v>33.5</v>
      </c>
      <c r="R22" s="2">
        <v>0.04</v>
      </c>
      <c r="S22" s="2">
        <v>0.19</v>
      </c>
      <c r="U22" s="2">
        <v>3.8</v>
      </c>
      <c r="V22" s="2"/>
    </row>
    <row r="23" spans="1:22" ht="14.25" customHeight="1">
      <c r="A23" s="1">
        <f t="shared" si="0"/>
        <v>21</v>
      </c>
      <c r="B23" s="2" t="s">
        <v>45</v>
      </c>
      <c r="C23" s="2" t="s">
        <v>28</v>
      </c>
      <c r="D23" s="2">
        <v>48.5</v>
      </c>
      <c r="E23" s="2">
        <v>23.5</v>
      </c>
      <c r="F23" s="2">
        <v>59.4</v>
      </c>
      <c r="G23" s="2">
        <v>2.9</v>
      </c>
      <c r="H23" s="2"/>
      <c r="I23" s="2">
        <v>6.5</v>
      </c>
      <c r="J23" s="2">
        <v>89.5</v>
      </c>
      <c r="K23" s="2">
        <v>78.900000000000006</v>
      </c>
      <c r="L23" s="2">
        <v>18.2</v>
      </c>
      <c r="M23" s="2">
        <v>600</v>
      </c>
      <c r="N23" s="2">
        <v>10</v>
      </c>
      <c r="O23" s="2">
        <v>60</v>
      </c>
      <c r="P23" s="2" t="s">
        <v>43</v>
      </c>
      <c r="Q23" s="2"/>
      <c r="R23" s="2">
        <v>0.03</v>
      </c>
      <c r="S23" s="2">
        <v>7.0000000000000007E-2</v>
      </c>
      <c r="U23" s="2">
        <v>4.2</v>
      </c>
      <c r="V23" s="2"/>
    </row>
    <row r="24" spans="1:22" ht="14.25" customHeight="1">
      <c r="A24" s="1">
        <f t="shared" si="0"/>
        <v>22</v>
      </c>
      <c r="B24" s="2" t="s">
        <v>50</v>
      </c>
      <c r="C24" s="2" t="s">
        <v>28</v>
      </c>
      <c r="D24" s="2">
        <v>32.4</v>
      </c>
      <c r="E24" s="2">
        <v>24.1</v>
      </c>
      <c r="F24" s="2">
        <v>30.9</v>
      </c>
      <c r="G24" s="2">
        <v>1.9</v>
      </c>
      <c r="H24" s="2">
        <v>8.5</v>
      </c>
      <c r="I24" s="2">
        <v>15.1</v>
      </c>
      <c r="J24" s="2">
        <v>79.8</v>
      </c>
      <c r="K24" s="2">
        <v>69.2</v>
      </c>
      <c r="L24" s="2">
        <v>24.5</v>
      </c>
      <c r="M24" s="2">
        <v>500</v>
      </c>
      <c r="N24" s="2">
        <v>10</v>
      </c>
      <c r="O24" s="2">
        <v>45</v>
      </c>
      <c r="P24" s="2" t="s">
        <v>43</v>
      </c>
      <c r="Q24" s="2">
        <v>31</v>
      </c>
      <c r="R24" s="2">
        <v>0.05</v>
      </c>
      <c r="S24" s="2">
        <v>0.19</v>
      </c>
      <c r="U24" s="2">
        <v>5.2</v>
      </c>
      <c r="V24" s="2"/>
    </row>
    <row r="25" spans="1:22" ht="14.25" customHeight="1">
      <c r="A25" s="1">
        <f t="shared" si="0"/>
        <v>23</v>
      </c>
      <c r="B25" s="2" t="s">
        <v>51</v>
      </c>
      <c r="C25" s="2" t="s">
        <v>22</v>
      </c>
      <c r="D25" s="2">
        <v>45</v>
      </c>
      <c r="E25" s="2">
        <v>25</v>
      </c>
      <c r="F25" s="2">
        <v>27</v>
      </c>
      <c r="G25" s="2">
        <v>11</v>
      </c>
      <c r="H25" s="2">
        <v>2.1800000000000002</v>
      </c>
      <c r="I25" s="2">
        <v>30.5</v>
      </c>
      <c r="J25" s="2">
        <v>52.28</v>
      </c>
      <c r="K25" s="2">
        <v>41</v>
      </c>
      <c r="L25" s="2">
        <v>46</v>
      </c>
      <c r="M25" s="2">
        <v>350</v>
      </c>
      <c r="N25" s="2">
        <v>10</v>
      </c>
      <c r="O25" s="2">
        <v>40</v>
      </c>
      <c r="P25" s="2" t="s">
        <v>43</v>
      </c>
      <c r="R25" s="2">
        <v>1.19</v>
      </c>
      <c r="S25" s="2">
        <v>0.44</v>
      </c>
      <c r="T25" s="2">
        <v>5.75</v>
      </c>
      <c r="U25" s="2">
        <v>3.39</v>
      </c>
    </row>
    <row r="26" spans="1:22" ht="14.25" customHeight="1">
      <c r="A26" s="1">
        <f t="shared" si="0"/>
        <v>24</v>
      </c>
      <c r="B26" s="2" t="s">
        <v>51</v>
      </c>
      <c r="C26" s="2" t="s">
        <v>52</v>
      </c>
      <c r="D26" s="2">
        <v>45</v>
      </c>
      <c r="E26" s="2">
        <v>25</v>
      </c>
      <c r="F26" s="2">
        <v>27</v>
      </c>
      <c r="G26" s="2">
        <v>21</v>
      </c>
      <c r="H26" s="2">
        <v>2.1800000000000002</v>
      </c>
      <c r="I26" s="2">
        <v>11.81</v>
      </c>
      <c r="J26" s="2">
        <v>62.87</v>
      </c>
      <c r="K26" s="2">
        <v>55</v>
      </c>
      <c r="L26" s="2">
        <v>22</v>
      </c>
      <c r="M26" s="2">
        <v>650</v>
      </c>
      <c r="N26" s="2">
        <v>10</v>
      </c>
      <c r="O26" s="2">
        <v>40</v>
      </c>
      <c r="P26" s="2" t="s">
        <v>43</v>
      </c>
      <c r="R26" s="2">
        <v>0.66</v>
      </c>
      <c r="S26" s="2">
        <v>0.14000000000000001</v>
      </c>
      <c r="T26" s="2">
        <v>6.84</v>
      </c>
      <c r="U26" s="2">
        <v>443.79</v>
      </c>
    </row>
    <row r="27" spans="1:22" ht="14.25" customHeight="1">
      <c r="A27" s="1">
        <f t="shared" si="0"/>
        <v>25</v>
      </c>
      <c r="B27" s="2" t="s">
        <v>53</v>
      </c>
      <c r="C27" s="2" t="s">
        <v>52</v>
      </c>
      <c r="D27" s="2">
        <v>41.28</v>
      </c>
      <c r="E27" s="2">
        <v>19.46</v>
      </c>
      <c r="F27" s="2">
        <v>9.11</v>
      </c>
      <c r="G27" s="2">
        <v>3.42</v>
      </c>
      <c r="H27" s="2">
        <v>2.58</v>
      </c>
      <c r="I27" s="2">
        <v>27.2</v>
      </c>
      <c r="J27" s="2">
        <v>67.900000000000006</v>
      </c>
      <c r="K27" s="2">
        <v>69.38</v>
      </c>
      <c r="L27" s="2">
        <v>24.04</v>
      </c>
      <c r="M27" s="2">
        <v>400</v>
      </c>
      <c r="N27" s="2">
        <v>10</v>
      </c>
      <c r="O27" s="2">
        <v>30</v>
      </c>
      <c r="P27" s="2" t="s">
        <v>43</v>
      </c>
      <c r="Q27" s="2">
        <v>36.340000000000003</v>
      </c>
      <c r="R27" s="2">
        <v>0.65</v>
      </c>
      <c r="S27" s="2">
        <v>0.3</v>
      </c>
      <c r="T27" s="2">
        <v>7.24</v>
      </c>
      <c r="U27" s="2">
        <v>2.1</v>
      </c>
    </row>
    <row r="28" spans="1:22" ht="14.25" customHeight="1">
      <c r="A28" s="1">
        <f t="shared" si="0"/>
        <v>26</v>
      </c>
      <c r="B28" s="2" t="s">
        <v>53</v>
      </c>
      <c r="C28" s="2" t="s">
        <v>52</v>
      </c>
      <c r="D28" s="2">
        <v>41.28</v>
      </c>
      <c r="E28" s="2">
        <v>19.46</v>
      </c>
      <c r="F28" s="2">
        <v>9.11</v>
      </c>
      <c r="G28" s="2">
        <v>2.0499999999999998</v>
      </c>
      <c r="H28" s="2">
        <v>2.3199999999999998</v>
      </c>
      <c r="I28" s="2">
        <v>17.47</v>
      </c>
      <c r="J28" s="2">
        <v>79.069999999999993</v>
      </c>
      <c r="K28" s="2">
        <v>65.150000000000006</v>
      </c>
      <c r="L28" s="2">
        <v>23.09</v>
      </c>
      <c r="M28" s="2">
        <v>600</v>
      </c>
      <c r="N28" s="2">
        <v>10</v>
      </c>
      <c r="O28" s="2">
        <v>45</v>
      </c>
      <c r="P28" s="2" t="s">
        <v>43</v>
      </c>
      <c r="Q28" s="2">
        <v>23.09</v>
      </c>
      <c r="R28" s="2">
        <v>0.37</v>
      </c>
      <c r="S28" s="2">
        <v>0.16</v>
      </c>
      <c r="T28" s="2">
        <v>8.49</v>
      </c>
      <c r="U28" s="2">
        <v>6.73</v>
      </c>
    </row>
    <row r="29" spans="1:22" ht="14.25" customHeight="1">
      <c r="A29" s="1">
        <f t="shared" si="0"/>
        <v>27</v>
      </c>
      <c r="B29" s="2" t="s">
        <v>53</v>
      </c>
      <c r="C29" s="2" t="s">
        <v>52</v>
      </c>
      <c r="D29" s="2">
        <v>41.28</v>
      </c>
      <c r="E29" s="2">
        <v>19.46</v>
      </c>
      <c r="F29" s="2">
        <v>9.11</v>
      </c>
      <c r="G29" s="2">
        <v>2.73</v>
      </c>
      <c r="H29" s="2">
        <v>1.61</v>
      </c>
      <c r="I29" s="2">
        <v>17.66</v>
      </c>
      <c r="J29" s="2">
        <v>80.52</v>
      </c>
      <c r="K29" s="2">
        <v>64.58</v>
      </c>
      <c r="L29" s="2">
        <v>22.16</v>
      </c>
      <c r="M29" s="2">
        <v>800</v>
      </c>
      <c r="N29" s="2">
        <v>10</v>
      </c>
      <c r="O29" s="2">
        <v>60</v>
      </c>
      <c r="P29" s="2" t="s">
        <v>43</v>
      </c>
      <c r="Q29" s="2">
        <v>21.94</v>
      </c>
      <c r="R29" s="2">
        <v>0.22</v>
      </c>
      <c r="S29" s="2">
        <v>0.16</v>
      </c>
      <c r="T29" s="2">
        <v>8.8699999999999992</v>
      </c>
      <c r="U29" s="2">
        <v>5.47</v>
      </c>
    </row>
    <row r="30" spans="1:22" ht="14.25" customHeight="1">
      <c r="A30" s="1">
        <f t="shared" si="0"/>
        <v>28</v>
      </c>
      <c r="B30" s="2" t="s">
        <v>54</v>
      </c>
      <c r="C30" s="2" t="s">
        <v>55</v>
      </c>
      <c r="D30" s="2">
        <v>45</v>
      </c>
      <c r="E30" s="2">
        <v>28</v>
      </c>
      <c r="F30" s="2">
        <v>27</v>
      </c>
      <c r="G30" s="2">
        <v>1.5</v>
      </c>
      <c r="H30" s="2">
        <v>7.2</v>
      </c>
      <c r="I30" s="2">
        <v>25.8</v>
      </c>
      <c r="J30" s="2">
        <v>71</v>
      </c>
      <c r="K30" s="2">
        <v>37</v>
      </c>
      <c r="L30" s="2">
        <v>58</v>
      </c>
      <c r="M30" s="2">
        <v>350</v>
      </c>
      <c r="N30" s="2">
        <v>10</v>
      </c>
      <c r="O30" s="2">
        <v>60</v>
      </c>
      <c r="P30" s="2" t="s">
        <v>43</v>
      </c>
      <c r="Q30" s="2">
        <v>34.4</v>
      </c>
      <c r="R30" s="2">
        <v>0.7</v>
      </c>
      <c r="S30" s="2">
        <v>0.3</v>
      </c>
      <c r="T30" s="2">
        <v>7.2</v>
      </c>
    </row>
    <row r="31" spans="1:22" ht="14.25" customHeight="1">
      <c r="A31" s="1">
        <f t="shared" si="0"/>
        <v>29</v>
      </c>
      <c r="B31" s="2" t="s">
        <v>54</v>
      </c>
      <c r="C31" s="2" t="s">
        <v>55</v>
      </c>
      <c r="D31" s="2">
        <v>45</v>
      </c>
      <c r="E31" s="2">
        <v>28</v>
      </c>
      <c r="F31" s="2">
        <v>27</v>
      </c>
      <c r="G31" s="2">
        <v>2.7</v>
      </c>
      <c r="H31" s="2">
        <v>7.2</v>
      </c>
      <c r="I31" s="2">
        <v>17</v>
      </c>
      <c r="J31" s="2">
        <v>80</v>
      </c>
      <c r="K31" s="2">
        <v>38</v>
      </c>
      <c r="L31" s="2">
        <v>57</v>
      </c>
      <c r="M31" s="2">
        <v>500</v>
      </c>
      <c r="N31" s="2">
        <v>10</v>
      </c>
      <c r="O31" s="2">
        <v>60</v>
      </c>
      <c r="P31" s="2" t="s">
        <v>43</v>
      </c>
      <c r="Q31" s="2">
        <v>29</v>
      </c>
      <c r="R31" s="2">
        <v>0.46</v>
      </c>
      <c r="S31" s="2">
        <v>0.12</v>
      </c>
      <c r="T31" s="2">
        <v>8.8000000000000007</v>
      </c>
    </row>
    <row r="32" spans="1:22" ht="14.25" customHeight="1">
      <c r="A32" s="1">
        <f t="shared" si="0"/>
        <v>30</v>
      </c>
      <c r="B32" s="2" t="s">
        <v>54</v>
      </c>
      <c r="C32" s="2" t="s">
        <v>55</v>
      </c>
      <c r="D32" s="2">
        <v>45</v>
      </c>
      <c r="E32" s="2">
        <v>28</v>
      </c>
      <c r="F32" s="2">
        <v>27</v>
      </c>
      <c r="G32" s="2">
        <v>2.9</v>
      </c>
      <c r="H32" s="2">
        <v>7.2</v>
      </c>
      <c r="I32" s="2">
        <v>16</v>
      </c>
      <c r="J32" s="2">
        <v>81</v>
      </c>
      <c r="K32" s="2">
        <v>48</v>
      </c>
      <c r="L32" s="2">
        <v>46</v>
      </c>
      <c r="M32" s="2">
        <v>650</v>
      </c>
      <c r="N32" s="2">
        <v>10</v>
      </c>
      <c r="O32" s="2">
        <v>60</v>
      </c>
      <c r="P32" s="2" t="s">
        <v>43</v>
      </c>
      <c r="Q32" s="2">
        <v>26.5</v>
      </c>
      <c r="R32" s="2">
        <v>0.38</v>
      </c>
      <c r="S32" s="2">
        <v>0.08</v>
      </c>
      <c r="T32" s="2">
        <v>9.1999999999999993</v>
      </c>
    </row>
    <row r="33" spans="1:22" ht="14.25" customHeight="1">
      <c r="A33" s="1">
        <f t="shared" si="0"/>
        <v>31</v>
      </c>
      <c r="B33" s="2" t="s">
        <v>54</v>
      </c>
      <c r="C33" s="2" t="s">
        <v>55</v>
      </c>
      <c r="D33" s="2">
        <v>45</v>
      </c>
      <c r="E33" s="2">
        <v>28</v>
      </c>
      <c r="F33" s="2">
        <v>27</v>
      </c>
      <c r="G33" s="2">
        <v>2.6</v>
      </c>
      <c r="H33" s="2">
        <v>7.2</v>
      </c>
      <c r="I33" s="2">
        <v>15</v>
      </c>
      <c r="J33" s="2">
        <v>82</v>
      </c>
      <c r="K33" s="2">
        <v>55</v>
      </c>
      <c r="L33" s="2">
        <v>40</v>
      </c>
      <c r="M33" s="2">
        <v>800</v>
      </c>
      <c r="N33" s="2">
        <v>10</v>
      </c>
      <c r="O33" s="2">
        <v>60</v>
      </c>
      <c r="P33" s="2" t="s">
        <v>43</v>
      </c>
      <c r="Q33" s="2">
        <v>26.5</v>
      </c>
      <c r="R33" s="2">
        <v>0.34</v>
      </c>
      <c r="S33" s="2">
        <v>0.05</v>
      </c>
      <c r="T33" s="2">
        <v>9</v>
      </c>
    </row>
    <row r="34" spans="1:22" ht="14.25" customHeight="1">
      <c r="A34" s="1">
        <f t="shared" si="0"/>
        <v>32</v>
      </c>
      <c r="B34" s="2" t="s">
        <v>56</v>
      </c>
      <c r="C34" s="2" t="s">
        <v>55</v>
      </c>
      <c r="D34" s="2">
        <v>46</v>
      </c>
      <c r="E34" s="2">
        <v>26</v>
      </c>
      <c r="F34" s="2">
        <v>28</v>
      </c>
      <c r="G34" s="2">
        <v>1.7</v>
      </c>
      <c r="H34" s="2">
        <v>7.5</v>
      </c>
      <c r="I34" s="2">
        <v>26</v>
      </c>
      <c r="J34" s="2">
        <v>72</v>
      </c>
      <c r="K34" s="2">
        <v>31</v>
      </c>
      <c r="L34" s="2">
        <v>65</v>
      </c>
      <c r="M34" s="2">
        <v>350</v>
      </c>
      <c r="N34" s="2">
        <v>10</v>
      </c>
      <c r="O34" s="2">
        <v>60</v>
      </c>
      <c r="P34" s="2" t="s">
        <v>43</v>
      </c>
      <c r="Q34" s="2">
        <v>41</v>
      </c>
      <c r="R34" s="2">
        <v>0.42</v>
      </c>
      <c r="S34" s="2">
        <v>0.26</v>
      </c>
      <c r="T34" s="2">
        <v>5.4</v>
      </c>
    </row>
    <row r="35" spans="1:22" ht="14.25" customHeight="1">
      <c r="A35" s="1">
        <f t="shared" si="0"/>
        <v>33</v>
      </c>
      <c r="B35" s="2" t="s">
        <v>56</v>
      </c>
      <c r="C35" s="2" t="s">
        <v>55</v>
      </c>
      <c r="D35" s="2">
        <v>46</v>
      </c>
      <c r="E35" s="2">
        <v>26</v>
      </c>
      <c r="F35" s="2">
        <v>28</v>
      </c>
      <c r="G35" s="2">
        <v>2.8</v>
      </c>
      <c r="H35" s="2">
        <v>7.5</v>
      </c>
      <c r="I35" s="2">
        <v>19</v>
      </c>
      <c r="J35" s="2">
        <v>81</v>
      </c>
      <c r="K35" s="2">
        <v>44</v>
      </c>
      <c r="L35" s="2">
        <v>50</v>
      </c>
      <c r="M35" s="2">
        <v>500</v>
      </c>
      <c r="N35" s="2">
        <v>10</v>
      </c>
      <c r="O35" s="2">
        <v>60</v>
      </c>
      <c r="P35" s="2" t="s">
        <v>43</v>
      </c>
      <c r="Q35" s="2">
        <v>29.8</v>
      </c>
      <c r="R35" s="2">
        <v>0.44</v>
      </c>
      <c r="S35" s="2">
        <v>0.15</v>
      </c>
      <c r="T35" s="2">
        <v>8</v>
      </c>
    </row>
    <row r="36" spans="1:22" ht="14.25" customHeight="1">
      <c r="A36" s="1">
        <f t="shared" si="0"/>
        <v>34</v>
      </c>
      <c r="B36" s="2" t="s">
        <v>56</v>
      </c>
      <c r="C36" s="2" t="s">
        <v>55</v>
      </c>
      <c r="D36" s="2">
        <v>46</v>
      </c>
      <c r="E36" s="2">
        <v>26</v>
      </c>
      <c r="F36" s="2">
        <v>28</v>
      </c>
      <c r="G36" s="2">
        <v>2.8</v>
      </c>
      <c r="H36" s="2">
        <v>7.5</v>
      </c>
      <c r="I36" s="2">
        <v>17</v>
      </c>
      <c r="J36" s="2">
        <v>81</v>
      </c>
      <c r="K36" s="2">
        <v>53</v>
      </c>
      <c r="L36" s="2">
        <v>42</v>
      </c>
      <c r="M36" s="2">
        <v>650</v>
      </c>
      <c r="N36" s="2">
        <v>10</v>
      </c>
      <c r="O36" s="2">
        <v>60</v>
      </c>
      <c r="P36" s="2" t="s">
        <v>43</v>
      </c>
      <c r="Q36" s="2">
        <v>27.6</v>
      </c>
      <c r="R36" s="2">
        <v>0.36</v>
      </c>
      <c r="S36" s="2">
        <v>0.09</v>
      </c>
      <c r="T36" s="2">
        <v>8.1999999999999993</v>
      </c>
    </row>
    <row r="37" spans="1:22" ht="14.25" customHeight="1">
      <c r="A37" s="1">
        <f t="shared" si="0"/>
        <v>35</v>
      </c>
      <c r="B37" s="2" t="s">
        <v>56</v>
      </c>
      <c r="C37" s="2" t="s">
        <v>55</v>
      </c>
      <c r="D37" s="2">
        <v>46</v>
      </c>
      <c r="E37" s="2">
        <v>26</v>
      </c>
      <c r="F37" s="2">
        <v>28</v>
      </c>
      <c r="G37" s="2">
        <v>2.8</v>
      </c>
      <c r="H37" s="2">
        <v>7.5</v>
      </c>
      <c r="I37" s="2">
        <v>15</v>
      </c>
      <c r="J37" s="2">
        <v>80</v>
      </c>
      <c r="K37" s="2">
        <v>60</v>
      </c>
      <c r="L37" s="2">
        <v>36</v>
      </c>
      <c r="M37" s="2">
        <v>800</v>
      </c>
      <c r="N37" s="2">
        <v>10</v>
      </c>
      <c r="O37" s="2">
        <v>60</v>
      </c>
      <c r="P37" s="2" t="s">
        <v>43</v>
      </c>
    </row>
    <row r="38" spans="1:22" ht="14.25" customHeight="1">
      <c r="A38" s="1">
        <f t="shared" si="0"/>
        <v>36</v>
      </c>
      <c r="B38" s="2" t="s">
        <v>57</v>
      </c>
      <c r="C38" s="2" t="s">
        <v>41</v>
      </c>
      <c r="D38" s="2">
        <v>28.7</v>
      </c>
      <c r="E38" s="2">
        <v>39.299999999999997</v>
      </c>
      <c r="F38" s="2">
        <v>19.600000000000001</v>
      </c>
      <c r="G38" s="2">
        <v>4.9000000000000004</v>
      </c>
      <c r="H38" s="2">
        <v>2.4</v>
      </c>
      <c r="I38" s="2">
        <v>27.63</v>
      </c>
      <c r="J38" s="2">
        <v>67.209999999999994</v>
      </c>
      <c r="K38" s="2">
        <v>49.1</v>
      </c>
      <c r="L38" s="2">
        <v>43.6</v>
      </c>
      <c r="M38" s="2">
        <v>300</v>
      </c>
      <c r="N38" s="2">
        <v>10</v>
      </c>
      <c r="O38" s="2">
        <v>60</v>
      </c>
      <c r="P38" s="2" t="s">
        <v>43</v>
      </c>
      <c r="Q38" s="2">
        <v>77.3</v>
      </c>
      <c r="R38" s="2">
        <v>0.8</v>
      </c>
      <c r="S38" s="2">
        <v>0.31</v>
      </c>
      <c r="T38" s="2">
        <v>8.1</v>
      </c>
      <c r="U38" s="2">
        <v>61.8</v>
      </c>
    </row>
    <row r="39" spans="1:22" ht="14.25" customHeight="1">
      <c r="A39" s="1">
        <f t="shared" si="0"/>
        <v>37</v>
      </c>
      <c r="B39" s="2" t="s">
        <v>57</v>
      </c>
      <c r="C39" s="2" t="s">
        <v>41</v>
      </c>
      <c r="D39" s="2">
        <v>28.7</v>
      </c>
      <c r="E39" s="2">
        <v>39.299999999999997</v>
      </c>
      <c r="F39" s="2">
        <v>19.600000000000001</v>
      </c>
      <c r="G39" s="2">
        <v>5.4</v>
      </c>
      <c r="H39" s="2">
        <v>2.1</v>
      </c>
      <c r="I39" s="2">
        <v>15.72</v>
      </c>
      <c r="J39" s="2">
        <v>79.650000000000006</v>
      </c>
      <c r="K39" s="2">
        <v>71.7</v>
      </c>
      <c r="L39" s="2">
        <v>20.8</v>
      </c>
      <c r="M39" s="2">
        <v>400</v>
      </c>
      <c r="N39" s="2">
        <v>10</v>
      </c>
      <c r="O39" s="2">
        <v>60</v>
      </c>
      <c r="P39" s="2" t="s">
        <v>43</v>
      </c>
      <c r="Q39" s="2">
        <v>36.9</v>
      </c>
      <c r="R39" s="2">
        <v>0.6</v>
      </c>
      <c r="S39" s="2">
        <v>0.15</v>
      </c>
      <c r="T39" s="2">
        <v>9.1</v>
      </c>
      <c r="U39" s="2">
        <v>180.1</v>
      </c>
    </row>
    <row r="40" spans="1:22" ht="14.25" customHeight="1">
      <c r="A40" s="1">
        <f t="shared" si="0"/>
        <v>38</v>
      </c>
      <c r="B40" s="2" t="s">
        <v>57</v>
      </c>
      <c r="C40" s="2" t="s">
        <v>41</v>
      </c>
      <c r="D40" s="2">
        <v>28.7</v>
      </c>
      <c r="E40" s="2">
        <v>39.299999999999997</v>
      </c>
      <c r="F40" s="2">
        <v>19.600000000000001</v>
      </c>
      <c r="G40" s="2">
        <v>8.1999999999999993</v>
      </c>
      <c r="H40" s="2">
        <v>1.6</v>
      </c>
      <c r="I40" s="2">
        <v>12.62</v>
      </c>
      <c r="J40" s="2">
        <v>83.27</v>
      </c>
      <c r="K40" s="2">
        <v>81.599999999999994</v>
      </c>
      <c r="L40" s="2">
        <v>8.6</v>
      </c>
      <c r="M40" s="2">
        <v>500</v>
      </c>
      <c r="N40" s="2">
        <v>10</v>
      </c>
      <c r="O40" s="2">
        <v>60</v>
      </c>
      <c r="P40" s="2" t="s">
        <v>43</v>
      </c>
      <c r="Q40" s="2">
        <v>23.3</v>
      </c>
      <c r="R40" s="2">
        <v>0.48</v>
      </c>
      <c r="S40" s="2">
        <v>0.11</v>
      </c>
      <c r="T40" s="2">
        <v>9.3000000000000007</v>
      </c>
      <c r="U40" s="2">
        <v>212.6</v>
      </c>
    </row>
    <row r="41" spans="1:22" ht="14.25" customHeight="1">
      <c r="A41" s="1">
        <f t="shared" si="0"/>
        <v>39</v>
      </c>
      <c r="B41" s="2" t="s">
        <v>57</v>
      </c>
      <c r="C41" s="2" t="s">
        <v>41</v>
      </c>
      <c r="D41" s="2">
        <v>28.7</v>
      </c>
      <c r="E41" s="2">
        <v>39.299999999999997</v>
      </c>
      <c r="F41" s="2">
        <v>19.600000000000001</v>
      </c>
      <c r="G41" s="2">
        <v>8.6999999999999993</v>
      </c>
      <c r="H41" s="2">
        <v>1.7</v>
      </c>
      <c r="I41" s="2">
        <v>12.52</v>
      </c>
      <c r="J41" s="2">
        <v>84.31</v>
      </c>
      <c r="K41" s="2">
        <v>82.4</v>
      </c>
      <c r="L41" s="2">
        <v>7.2</v>
      </c>
      <c r="M41" s="2">
        <v>600</v>
      </c>
      <c r="N41" s="2">
        <v>10</v>
      </c>
      <c r="O41" s="2">
        <v>60</v>
      </c>
      <c r="P41" s="2" t="s">
        <v>43</v>
      </c>
      <c r="Q41" s="2">
        <v>21.7</v>
      </c>
      <c r="R41" s="2">
        <v>0.34</v>
      </c>
      <c r="S41" s="2">
        <v>0.11</v>
      </c>
      <c r="T41" s="2">
        <v>10.4</v>
      </c>
      <c r="U41" s="2">
        <v>192.9</v>
      </c>
    </row>
    <row r="42" spans="1:22" ht="14.25" customHeight="1">
      <c r="A42" s="1">
        <f t="shared" si="0"/>
        <v>40</v>
      </c>
      <c r="B42" s="2" t="s">
        <v>58</v>
      </c>
      <c r="C42" s="2" t="s">
        <v>22</v>
      </c>
      <c r="D42" s="2">
        <v>47.62</v>
      </c>
      <c r="E42" s="2">
        <v>39</v>
      </c>
      <c r="F42" s="2">
        <v>11.23</v>
      </c>
      <c r="G42" s="2">
        <v>3.38</v>
      </c>
      <c r="H42" s="2">
        <v>3.07</v>
      </c>
      <c r="I42" s="2">
        <v>46.39</v>
      </c>
      <c r="J42" s="2">
        <v>46.09</v>
      </c>
      <c r="K42" s="2">
        <v>65.63</v>
      </c>
      <c r="L42" s="2">
        <v>21.57</v>
      </c>
      <c r="M42" s="2">
        <v>350</v>
      </c>
      <c r="N42" s="2">
        <v>10</v>
      </c>
      <c r="O42" s="2">
        <v>60</v>
      </c>
      <c r="P42" s="2" t="s">
        <v>43</v>
      </c>
      <c r="Q42" s="2">
        <v>55.11</v>
      </c>
      <c r="R42" s="2">
        <v>0.69</v>
      </c>
      <c r="S42" s="2">
        <v>0.45</v>
      </c>
      <c r="T42" s="2">
        <v>7.6</v>
      </c>
      <c r="U42" s="2">
        <v>1.83</v>
      </c>
    </row>
    <row r="43" spans="1:22" ht="14.25" customHeight="1">
      <c r="A43" s="1">
        <f t="shared" si="0"/>
        <v>41</v>
      </c>
      <c r="B43" s="2" t="s">
        <v>58</v>
      </c>
      <c r="C43" s="2" t="s">
        <v>22</v>
      </c>
      <c r="D43" s="2">
        <v>47.62</v>
      </c>
      <c r="E43" s="2">
        <v>39</v>
      </c>
      <c r="F43" s="2">
        <v>11.23</v>
      </c>
      <c r="G43" s="2">
        <v>3.38</v>
      </c>
      <c r="H43" s="2">
        <v>3.07</v>
      </c>
      <c r="I43" s="2">
        <v>39.270000000000003</v>
      </c>
      <c r="J43" s="2">
        <v>52.21</v>
      </c>
      <c r="K43" s="2">
        <v>67.42</v>
      </c>
      <c r="L43" s="2">
        <v>19.309999999999999</v>
      </c>
      <c r="M43" s="2">
        <v>450</v>
      </c>
      <c r="N43" s="2">
        <v>20</v>
      </c>
      <c r="O43" s="2">
        <v>60</v>
      </c>
      <c r="P43" s="2" t="s">
        <v>43</v>
      </c>
      <c r="Q43" s="2">
        <v>41.52</v>
      </c>
      <c r="R43" s="2">
        <v>0.61</v>
      </c>
      <c r="S43" s="2">
        <v>0.37</v>
      </c>
      <c r="T43" s="2">
        <v>7.9</v>
      </c>
      <c r="U43" s="2">
        <v>2.64</v>
      </c>
    </row>
    <row r="44" spans="1:22" ht="14.25" customHeight="1">
      <c r="A44" s="1">
        <f t="shared" si="0"/>
        <v>42</v>
      </c>
      <c r="B44" s="2" t="s">
        <v>58</v>
      </c>
      <c r="C44" s="2" t="s">
        <v>22</v>
      </c>
      <c r="D44" s="2">
        <v>47.62</v>
      </c>
      <c r="E44" s="2">
        <v>39</v>
      </c>
      <c r="F44" s="2">
        <v>11.23</v>
      </c>
      <c r="G44" s="2">
        <v>3.38</v>
      </c>
      <c r="H44" s="2">
        <v>3.07</v>
      </c>
      <c r="I44" s="2">
        <v>33.840000000000003</v>
      </c>
      <c r="J44" s="2">
        <v>60.15</v>
      </c>
      <c r="K44" s="2">
        <v>69.84</v>
      </c>
      <c r="L44" s="2">
        <v>16.32</v>
      </c>
      <c r="M44" s="2">
        <v>550</v>
      </c>
      <c r="N44" s="2">
        <v>30</v>
      </c>
      <c r="O44" s="2">
        <v>60</v>
      </c>
      <c r="P44" s="2" t="s">
        <v>43</v>
      </c>
      <c r="Q44" s="2">
        <v>32.68</v>
      </c>
      <c r="R44" s="2">
        <v>0.56000000000000005</v>
      </c>
      <c r="S44" s="2">
        <v>0.33</v>
      </c>
      <c r="T44" s="2">
        <v>8.1</v>
      </c>
      <c r="U44" s="2">
        <v>2.87</v>
      </c>
    </row>
    <row r="45" spans="1:22" ht="17.25" customHeight="1">
      <c r="A45" s="1">
        <f t="shared" si="0"/>
        <v>43</v>
      </c>
      <c r="B45" s="2" t="s">
        <v>58</v>
      </c>
      <c r="C45" s="2" t="s">
        <v>22</v>
      </c>
      <c r="D45" s="2">
        <v>47.62</v>
      </c>
      <c r="E45" s="2">
        <v>39</v>
      </c>
      <c r="F45" s="2">
        <v>11.23</v>
      </c>
      <c r="G45" s="2">
        <v>3.38</v>
      </c>
      <c r="H45" s="2">
        <v>3.07</v>
      </c>
      <c r="I45" s="2">
        <v>32.94</v>
      </c>
      <c r="J45" s="2">
        <v>63.48</v>
      </c>
      <c r="K45" s="2">
        <v>70.14</v>
      </c>
      <c r="L45" s="2">
        <v>15.25</v>
      </c>
      <c r="M45" s="2">
        <v>650</v>
      </c>
      <c r="N45" s="2">
        <v>50</v>
      </c>
      <c r="O45" s="2">
        <v>60</v>
      </c>
      <c r="P45" s="2" t="s">
        <v>43</v>
      </c>
      <c r="Q45" s="2">
        <v>26.19</v>
      </c>
      <c r="R45" s="2">
        <v>0.54</v>
      </c>
      <c r="S45" s="2">
        <v>0.38</v>
      </c>
      <c r="T45" s="2">
        <v>8.3000000000000007</v>
      </c>
      <c r="U45" s="2">
        <v>3.1</v>
      </c>
    </row>
    <row r="46" spans="1:22" ht="14.25" customHeight="1">
      <c r="A46" s="1">
        <f t="shared" si="0"/>
        <v>44</v>
      </c>
      <c r="B46" s="3" t="s">
        <v>59</v>
      </c>
      <c r="C46" s="2" t="s">
        <v>60</v>
      </c>
      <c r="D46" s="4">
        <v>14.9</v>
      </c>
      <c r="E46" s="4">
        <v>41.4</v>
      </c>
      <c r="F46" s="4">
        <v>33.299999999999997</v>
      </c>
      <c r="G46" s="4">
        <v>2.2000000000000002</v>
      </c>
      <c r="H46" s="4">
        <v>10.5</v>
      </c>
      <c r="I46" s="4">
        <v>19.66</v>
      </c>
      <c r="J46" s="4">
        <v>62.63</v>
      </c>
      <c r="K46" s="2">
        <v>20.9</v>
      </c>
      <c r="L46" s="2">
        <v>76.7</v>
      </c>
      <c r="M46" s="4">
        <v>300</v>
      </c>
      <c r="N46" s="4">
        <v>15</v>
      </c>
      <c r="O46" s="2">
        <v>60</v>
      </c>
      <c r="P46" s="2" t="s">
        <v>43</v>
      </c>
      <c r="Q46" s="5">
        <v>24</v>
      </c>
      <c r="R46" s="6">
        <v>0.92</v>
      </c>
      <c r="S46" s="6">
        <v>0.31</v>
      </c>
      <c r="T46" s="2">
        <v>3.5</v>
      </c>
    </row>
    <row r="47" spans="1:22" ht="14.25" customHeight="1">
      <c r="A47" s="7">
        <f t="shared" si="0"/>
        <v>45</v>
      </c>
      <c r="B47" s="3" t="s">
        <v>59</v>
      </c>
      <c r="C47" s="2" t="s">
        <v>60</v>
      </c>
      <c r="D47" s="8">
        <v>14.9</v>
      </c>
      <c r="E47" s="8">
        <v>41.4</v>
      </c>
      <c r="F47" s="8">
        <v>33.299999999999997</v>
      </c>
      <c r="G47" s="8">
        <v>2.2000000000000002</v>
      </c>
      <c r="H47" s="8">
        <v>10.5</v>
      </c>
      <c r="I47" s="8">
        <v>13.16</v>
      </c>
      <c r="J47" s="8">
        <v>69.56</v>
      </c>
      <c r="K47" s="2">
        <v>20.9</v>
      </c>
      <c r="L47" s="2">
        <v>76.7</v>
      </c>
      <c r="M47" s="8">
        <v>400</v>
      </c>
      <c r="N47" s="8">
        <v>15</v>
      </c>
      <c r="O47" s="2">
        <v>60</v>
      </c>
      <c r="P47" s="2" t="s">
        <v>43</v>
      </c>
      <c r="Q47" s="5">
        <v>23</v>
      </c>
      <c r="R47" s="5">
        <v>0.56999999999999995</v>
      </c>
      <c r="S47" s="5">
        <v>0.19</v>
      </c>
      <c r="T47" s="9">
        <v>3.8</v>
      </c>
      <c r="U47" s="7"/>
      <c r="V47" s="7"/>
    </row>
    <row r="48" spans="1:22" ht="14.25" customHeight="1">
      <c r="A48" s="7">
        <f t="shared" si="0"/>
        <v>46</v>
      </c>
      <c r="B48" s="3" t="s">
        <v>59</v>
      </c>
      <c r="C48" s="2" t="s">
        <v>60</v>
      </c>
      <c r="D48" s="8">
        <v>14.9</v>
      </c>
      <c r="E48" s="8">
        <v>41.4</v>
      </c>
      <c r="F48" s="8">
        <v>33.299999999999997</v>
      </c>
      <c r="G48" s="8">
        <v>2.2000000000000002</v>
      </c>
      <c r="H48" s="8">
        <v>10.5</v>
      </c>
      <c r="I48" s="8">
        <v>9.8699999999999992</v>
      </c>
      <c r="J48" s="8">
        <v>72.760000000000005</v>
      </c>
      <c r="K48" s="2">
        <v>20.9</v>
      </c>
      <c r="L48" s="2">
        <v>76.7</v>
      </c>
      <c r="M48" s="8">
        <v>500</v>
      </c>
      <c r="N48" s="8">
        <v>15</v>
      </c>
      <c r="O48" s="2">
        <v>60</v>
      </c>
      <c r="P48" s="2" t="s">
        <v>43</v>
      </c>
      <c r="Q48" s="5">
        <v>22</v>
      </c>
      <c r="R48" s="5">
        <v>0.45</v>
      </c>
      <c r="S48" s="5">
        <v>0.14000000000000001</v>
      </c>
      <c r="T48" s="9">
        <v>4</v>
      </c>
      <c r="U48" s="7"/>
      <c r="V48" s="7"/>
    </row>
    <row r="49" spans="1:22" ht="14.25" customHeight="1">
      <c r="A49" s="7">
        <f t="shared" si="0"/>
        <v>47</v>
      </c>
      <c r="B49" s="3" t="s">
        <v>59</v>
      </c>
      <c r="C49" s="2" t="s">
        <v>60</v>
      </c>
      <c r="D49" s="8">
        <v>14.9</v>
      </c>
      <c r="E49" s="8">
        <v>41.4</v>
      </c>
      <c r="F49" s="8">
        <v>33.299999999999997</v>
      </c>
      <c r="G49" s="8">
        <v>2.2000000000000002</v>
      </c>
      <c r="H49" s="8">
        <v>10.5</v>
      </c>
      <c r="I49" s="8">
        <v>7.9</v>
      </c>
      <c r="J49" s="8">
        <v>74.400000000000006</v>
      </c>
      <c r="K49" s="2">
        <v>20.9</v>
      </c>
      <c r="L49" s="2">
        <v>76.7</v>
      </c>
      <c r="M49" s="8">
        <v>600</v>
      </c>
      <c r="N49" s="8">
        <v>15</v>
      </c>
      <c r="O49" s="2">
        <v>60</v>
      </c>
      <c r="P49" s="2" t="s">
        <v>43</v>
      </c>
      <c r="Q49" s="5">
        <v>21</v>
      </c>
      <c r="R49" s="5">
        <v>0.36</v>
      </c>
      <c r="S49" s="5">
        <v>0.11</v>
      </c>
      <c r="T49" s="9">
        <v>3.7</v>
      </c>
      <c r="U49" s="7"/>
      <c r="V49" s="7"/>
    </row>
    <row r="50" spans="1:22" ht="14.25" customHeight="1">
      <c r="A50" s="7">
        <f t="shared" si="0"/>
        <v>48</v>
      </c>
      <c r="B50" s="2" t="s">
        <v>29</v>
      </c>
      <c r="C50" s="2" t="s">
        <v>60</v>
      </c>
      <c r="D50" s="2">
        <v>33.700000000000003</v>
      </c>
      <c r="E50" s="2">
        <v>4.7</v>
      </c>
      <c r="F50" s="2">
        <v>33.1</v>
      </c>
      <c r="G50" s="2">
        <v>6.3</v>
      </c>
      <c r="H50" s="2">
        <v>9.4</v>
      </c>
      <c r="I50" s="2">
        <v>22.06</v>
      </c>
      <c r="J50" s="2">
        <v>56.9</v>
      </c>
      <c r="K50" s="2">
        <v>18.899999999999999</v>
      </c>
      <c r="L50" s="2">
        <v>74.400000000000006</v>
      </c>
      <c r="M50" s="2">
        <v>300</v>
      </c>
      <c r="N50" s="8">
        <v>15</v>
      </c>
      <c r="O50" s="2">
        <v>60</v>
      </c>
      <c r="P50" s="2" t="s">
        <v>43</v>
      </c>
      <c r="Q50" s="2">
        <v>40</v>
      </c>
      <c r="R50" s="2">
        <v>0.87</v>
      </c>
      <c r="S50" s="2">
        <v>0.3</v>
      </c>
      <c r="T50" s="2">
        <v>3.9</v>
      </c>
    </row>
    <row r="51" spans="1:22" ht="14.25" customHeight="1">
      <c r="A51" s="7">
        <f t="shared" si="0"/>
        <v>49</v>
      </c>
      <c r="B51" s="2" t="s">
        <v>29</v>
      </c>
      <c r="C51" s="2" t="s">
        <v>60</v>
      </c>
      <c r="D51" s="2">
        <v>33.700000000000003</v>
      </c>
      <c r="E51" s="2">
        <v>4.7</v>
      </c>
      <c r="F51" s="2">
        <v>33.1</v>
      </c>
      <c r="G51" s="2">
        <v>6.3</v>
      </c>
      <c r="H51" s="2">
        <v>9.4</v>
      </c>
      <c r="I51" s="2">
        <v>19.27</v>
      </c>
      <c r="J51" s="2">
        <v>57.21</v>
      </c>
      <c r="K51" s="2">
        <v>20.9</v>
      </c>
      <c r="L51" s="2">
        <v>74.400000000000006</v>
      </c>
      <c r="M51" s="2">
        <v>400</v>
      </c>
      <c r="N51" s="8">
        <v>15</v>
      </c>
      <c r="O51" s="2">
        <v>60</v>
      </c>
      <c r="P51" s="2" t="s">
        <v>43</v>
      </c>
      <c r="Q51" s="2">
        <v>35</v>
      </c>
      <c r="R51" s="2">
        <v>0.62</v>
      </c>
      <c r="S51" s="2">
        <v>0.23</v>
      </c>
      <c r="T51" s="2">
        <v>3.9</v>
      </c>
    </row>
    <row r="52" spans="1:22" ht="14.25" customHeight="1">
      <c r="A52" s="7">
        <f t="shared" si="0"/>
        <v>50</v>
      </c>
      <c r="B52" s="2" t="s">
        <v>29</v>
      </c>
      <c r="C52" s="2" t="s">
        <v>60</v>
      </c>
      <c r="D52" s="2">
        <v>33.700000000000003</v>
      </c>
      <c r="E52" s="2">
        <v>4.7</v>
      </c>
      <c r="F52" s="2">
        <v>33.1</v>
      </c>
      <c r="G52" s="2">
        <v>6.3</v>
      </c>
      <c r="H52" s="2">
        <v>9.4</v>
      </c>
      <c r="I52" s="2">
        <v>16.8</v>
      </c>
      <c r="J52" s="2">
        <v>60.63</v>
      </c>
      <c r="L52" s="2">
        <v>74.400000000000006</v>
      </c>
      <c r="M52" s="2">
        <v>500</v>
      </c>
      <c r="N52" s="8">
        <v>15</v>
      </c>
      <c r="O52" s="2">
        <v>60</v>
      </c>
      <c r="P52" s="2" t="s">
        <v>43</v>
      </c>
      <c r="Q52" s="2">
        <v>31.5</v>
      </c>
      <c r="R52" s="2">
        <v>0.47</v>
      </c>
      <c r="S52" s="2">
        <v>0.17</v>
      </c>
      <c r="T52" s="2">
        <v>4.2</v>
      </c>
    </row>
    <row r="53" spans="1:22" ht="14.25" customHeight="1">
      <c r="A53" s="7">
        <f t="shared" si="0"/>
        <v>51</v>
      </c>
      <c r="B53" s="2" t="s">
        <v>29</v>
      </c>
      <c r="C53" s="2" t="s">
        <v>60</v>
      </c>
      <c r="D53" s="2">
        <v>33.700000000000003</v>
      </c>
      <c r="E53" s="2">
        <v>4.7</v>
      </c>
      <c r="F53" s="2">
        <v>33.1</v>
      </c>
      <c r="G53" s="2">
        <v>6.3</v>
      </c>
      <c r="H53" s="2">
        <v>9.4</v>
      </c>
      <c r="I53" s="2">
        <v>13.78</v>
      </c>
      <c r="J53" s="2">
        <v>64.680000000000007</v>
      </c>
      <c r="L53" s="2">
        <v>74.400000000000006</v>
      </c>
      <c r="M53" s="2">
        <v>600</v>
      </c>
      <c r="N53" s="8">
        <v>15</v>
      </c>
      <c r="O53" s="2">
        <v>60</v>
      </c>
      <c r="P53" s="2" t="s">
        <v>43</v>
      </c>
      <c r="Q53" s="2">
        <v>28</v>
      </c>
      <c r="R53" s="2">
        <v>0.3</v>
      </c>
      <c r="S53" s="2">
        <v>0.12</v>
      </c>
      <c r="T53" s="2">
        <v>4.3</v>
      </c>
    </row>
    <row r="54" spans="1:22" ht="14.25" customHeight="1"/>
    <row r="55" spans="1:22" ht="14.25" customHeight="1"/>
    <row r="56" spans="1:22" ht="14.25" customHeight="1"/>
    <row r="57" spans="1:22" ht="14.25" customHeight="1"/>
    <row r="58" spans="1:22" ht="14.25" customHeight="1"/>
    <row r="59" spans="1:22" ht="14.25" customHeight="1"/>
    <row r="60" spans="1:22" ht="14.25" customHeight="1"/>
    <row r="61" spans="1:22" ht="14.25" customHeight="1"/>
    <row r="62" spans="1:22" ht="14.25" customHeight="1"/>
    <row r="63" spans="1:22" ht="14.25" customHeight="1"/>
    <row r="64" spans="1:2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1:22" ht="14.25" customHeight="1"/>
    <row r="226" spans="1:22" ht="14.25" customHeight="1"/>
    <row r="227" spans="1:22" ht="14.25" customHeight="1"/>
    <row r="228" spans="1:22" ht="14.25" customHeight="1"/>
    <row r="229" spans="1:22" ht="14.25" customHeight="1"/>
    <row r="230" spans="1:22" ht="14.25" customHeight="1"/>
    <row r="231" spans="1:22" ht="14.25" customHeight="1"/>
    <row r="232" spans="1:22" ht="14.25" customHeight="1"/>
    <row r="233" spans="1:22" ht="14.25" customHeight="1"/>
    <row r="234" spans="1:22" ht="14.25" customHeight="1"/>
    <row r="235" spans="1:22" ht="14.25" customHeight="1"/>
    <row r="236" spans="1:22" ht="14.25" customHeight="1"/>
    <row r="237" spans="1:22" ht="14.25" customHeight="1"/>
    <row r="238" spans="1:22" ht="14.25" customHeight="1"/>
    <row r="239" spans="1:22" ht="14.25" customHeight="1">
      <c r="A239" s="10" t="s">
        <v>61</v>
      </c>
      <c r="B239" s="10" t="s">
        <v>62</v>
      </c>
      <c r="C239" s="10" t="s">
        <v>63</v>
      </c>
      <c r="D239" s="10" t="s">
        <v>64</v>
      </c>
      <c r="E239" s="10" t="s">
        <v>65</v>
      </c>
      <c r="F239" s="10" t="s">
        <v>66</v>
      </c>
      <c r="G239" s="10" t="s">
        <v>67</v>
      </c>
      <c r="H239" s="10" t="s">
        <v>68</v>
      </c>
      <c r="I239" s="10" t="s">
        <v>69</v>
      </c>
      <c r="J239" s="10" t="s">
        <v>70</v>
      </c>
      <c r="K239" s="10" t="s">
        <v>71</v>
      </c>
      <c r="L239" s="10" t="s">
        <v>72</v>
      </c>
      <c r="M239" s="10" t="s">
        <v>73</v>
      </c>
      <c r="N239" s="10" t="s">
        <v>74</v>
      </c>
      <c r="O239" s="10" t="s">
        <v>75</v>
      </c>
      <c r="P239" s="10" t="s">
        <v>76</v>
      </c>
      <c r="Q239" s="10" t="s">
        <v>77</v>
      </c>
      <c r="R239" s="10" t="s">
        <v>78</v>
      </c>
      <c r="S239" s="10" t="s">
        <v>79</v>
      </c>
      <c r="T239" s="10" t="s">
        <v>80</v>
      </c>
      <c r="U239" s="10" t="s">
        <v>81</v>
      </c>
      <c r="V239" s="10" t="s">
        <v>82</v>
      </c>
    </row>
    <row r="240" spans="1:22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1"/>
  <sheetViews>
    <sheetView workbookViewId="0"/>
  </sheetViews>
  <sheetFormatPr defaultColWidth="12.6640625" defaultRowHeight="15" customHeight="1"/>
  <sheetData>
    <row r="1" spans="1:10">
      <c r="A1" s="11" t="s">
        <v>83</v>
      </c>
      <c r="H1" s="11"/>
      <c r="I1" s="11"/>
      <c r="J1" s="11"/>
    </row>
    <row r="2" spans="1:10">
      <c r="A2" s="1" t="s">
        <v>84</v>
      </c>
    </row>
    <row r="3" spans="1:10">
      <c r="A3" s="1" t="s">
        <v>85</v>
      </c>
    </row>
    <row r="4" spans="1:10">
      <c r="A4" s="1" t="s">
        <v>86</v>
      </c>
    </row>
    <row r="5" spans="1:10">
      <c r="A5" s="1" t="s">
        <v>87</v>
      </c>
    </row>
    <row r="6" spans="1:10">
      <c r="A6" s="1" t="s">
        <v>88</v>
      </c>
    </row>
    <row r="7" spans="1:10">
      <c r="A7" s="1" t="s">
        <v>89</v>
      </c>
    </row>
    <row r="8" spans="1:10">
      <c r="A8" s="1" t="s">
        <v>90</v>
      </c>
    </row>
    <row r="9" spans="1:10">
      <c r="A9" s="1" t="s">
        <v>91</v>
      </c>
    </row>
    <row r="10" spans="1:10">
      <c r="A10" s="12" t="s">
        <v>92</v>
      </c>
    </row>
    <row r="11" spans="1:10">
      <c r="A11" s="13" t="s">
        <v>93</v>
      </c>
    </row>
  </sheetData>
  <hyperlinks>
    <hyperlink ref="A10" r:id="rId1" xr:uid="{00000000-0004-0000-0100-000000000000}"/>
    <hyperlink ref="A11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Biochar Properties 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Mouterde</dc:creator>
  <cp:lastModifiedBy>Elie Mouterde</cp:lastModifiedBy>
  <dcterms:created xsi:type="dcterms:W3CDTF">2025-09-21T18:16:31Z</dcterms:created>
  <dcterms:modified xsi:type="dcterms:W3CDTF">2025-11-19T23:23:40Z</dcterms:modified>
</cp:coreProperties>
</file>