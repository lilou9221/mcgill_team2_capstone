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OsnO7TWHhkKdWRE1AaKnteOsFXio91hiVTZbs3J6Vo="/>
    </ext>
  </extLst>
</workbook>
</file>

<file path=xl/sharedStrings.xml><?xml version="1.0" encoding="utf-8"?>
<sst xmlns="http://schemas.openxmlformats.org/spreadsheetml/2006/main" count="74" uniqueCount="72">
  <si>
    <t>Crop</t>
  </si>
  <si>
    <t>Ratio (grain (tons) / hectare)</t>
  </si>
  <si>
    <t>URR (t residue/t grain) Assuming AF = 0.5</t>
  </si>
  <si>
    <t>Doesn't require AF</t>
  </si>
  <si>
    <t>Avocado</t>
  </si>
  <si>
    <t>Pineapple</t>
  </si>
  <si>
    <t>Acai</t>
  </si>
  <si>
    <t>Herbaceous cotton (seed)</t>
  </si>
  <si>
    <t>Garlic</t>
  </si>
  <si>
    <t>Peanut (in shell)</t>
  </si>
  <si>
    <t>Rice (paddy)</t>
  </si>
  <si>
    <t>Oats (grain)</t>
  </si>
  <si>
    <t>Olive</t>
  </si>
  <si>
    <t>Banana (bunch)</t>
  </si>
  <si>
    <t>Sweet potato</t>
  </si>
  <si>
    <t>Potato</t>
  </si>
  <si>
    <t>Rubber (coagulated latex)</t>
  </si>
  <si>
    <t>Cocoa (bean)</t>
  </si>
  <si>
    <t>Coffee (total)</t>
  </si>
  <si>
    <t>Coffee (Arabica)</t>
  </si>
  <si>
    <t>*</t>
  </si>
  <si>
    <t>Coffee (Canephora/Robusta)</t>
  </si>
  <si>
    <t>Sugarcane</t>
  </si>
  <si>
    <t>Persimmon</t>
  </si>
  <si>
    <t>Cashew nut</t>
  </si>
  <si>
    <t>Onion</t>
  </si>
  <si>
    <t>Rye (grain)</t>
  </si>
  <si>
    <t>Barley (grain)</t>
  </si>
  <si>
    <t>Tea (green leaf)</t>
  </si>
  <si>
    <t>Coconut</t>
  </si>
  <si>
    <t>Palm oil fruit</t>
  </si>
  <si>
    <t>Yerba mate (green leaf)</t>
  </si>
  <si>
    <t>Peas (grain)</t>
  </si>
  <si>
    <t>Fava beans</t>
  </si>
  <si>
    <t>Beans (grain)</t>
  </si>
  <si>
    <t>Fig</t>
  </si>
  <si>
    <t>Tobacco (leaf)</t>
  </si>
  <si>
    <t>Sunflower (seed)</t>
  </si>
  <si>
    <t>Guava</t>
  </si>
  <si>
    <t>Guarana (seed)</t>
  </si>
  <si>
    <t>Jute (fiber)</t>
  </si>
  <si>
    <t>Orange</t>
  </si>
  <si>
    <t>Lemon</t>
  </si>
  <si>
    <t>Flax (seed)</t>
  </si>
  <si>
    <t>Apple</t>
  </si>
  <si>
    <t>Mallow (fiber)</t>
  </si>
  <si>
    <t>Papaya</t>
  </si>
  <si>
    <t>Castor bean</t>
  </si>
  <si>
    <t>Cassava</t>
  </si>
  <si>
    <t>Mango</t>
  </si>
  <si>
    <t>Passion fruit</t>
  </si>
  <si>
    <t>Quince</t>
  </si>
  <si>
    <t>Watermelon</t>
  </si>
  <si>
    <t>Melon</t>
  </si>
  <si>
    <t>Corn (grain)</t>
  </si>
  <si>
    <t>Walnut</t>
  </si>
  <si>
    <t>Heart of palm</t>
  </si>
  <si>
    <t>Pear</t>
  </si>
  <si>
    <t>Peach</t>
  </si>
  <si>
    <t>Black pepper</t>
  </si>
  <si>
    <t>Ramie (fiber)</t>
  </si>
  <si>
    <t>Sisal/Agave (fiber)</t>
  </si>
  <si>
    <t>Soybeans (grain)</t>
  </si>
  <si>
    <t>Sorghum (grain)</t>
  </si>
  <si>
    <t>Tangerine</t>
  </si>
  <si>
    <t>Tomato</t>
  </si>
  <si>
    <t>Wheat (grain)</t>
  </si>
  <si>
    <t>Triticale (grain)</t>
  </si>
  <si>
    <t>Tung (nut)</t>
  </si>
  <si>
    <t>Annatto (seed)</t>
  </si>
  <si>
    <t>Assumed to be same waste percent as acai</t>
  </si>
  <si>
    <t>Grapes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</si>
</sst>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rgb="FF000000"/>
      <name val="Arial"/>
    </font>
    <font>
      <sz val="12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78"/>
    <col customWidth="1" min="2" max="2" width="25.78"/>
    <col customWidth="1" min="3" max="3" width="34.22"/>
    <col customWidth="1" min="4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5.75" customHeight="1">
      <c r="A2" s="3" t="s">
        <v>4</v>
      </c>
      <c r="B2" s="2">
        <v>18.62540745</v>
      </c>
      <c r="C2" s="2">
        <v>0.1</v>
      </c>
    </row>
    <row r="3" ht="15.75" customHeight="1">
      <c r="A3" s="3" t="s">
        <v>5</v>
      </c>
      <c r="B3" s="4">
        <v>41.10680994</v>
      </c>
      <c r="C3" s="2">
        <v>0.11</v>
      </c>
    </row>
    <row r="4" ht="15.75" customHeight="1">
      <c r="A4" s="3" t="s">
        <v>6</v>
      </c>
      <c r="B4" s="5">
        <v>7.176211062</v>
      </c>
      <c r="C4" s="3">
        <f>0.85*0.5</f>
        <v>0.425</v>
      </c>
    </row>
    <row r="5" ht="15.75" customHeight="1">
      <c r="A5" s="3" t="s">
        <v>7</v>
      </c>
      <c r="B5" s="5">
        <v>4.385450797</v>
      </c>
      <c r="C5" s="2">
        <v>0.6125</v>
      </c>
    </row>
    <row r="6" ht="15.75" customHeight="1">
      <c r="A6" s="3" t="s">
        <v>8</v>
      </c>
      <c r="B6" s="5">
        <v>13.64766686</v>
      </c>
      <c r="C6" s="2">
        <v>0.1</v>
      </c>
    </row>
    <row r="7" ht="15.75" customHeight="1">
      <c r="A7" s="3" t="s">
        <v>9</v>
      </c>
      <c r="B7" s="5">
        <v>3.713420766</v>
      </c>
      <c r="C7" s="2">
        <v>0.752011612</v>
      </c>
    </row>
    <row r="8" ht="15.75" customHeight="1">
      <c r="A8" s="3" t="s">
        <v>10</v>
      </c>
      <c r="B8" s="5">
        <v>6.936892176</v>
      </c>
      <c r="C8" s="2">
        <v>0.45495</v>
      </c>
    </row>
    <row r="9" ht="15.75" customHeight="1">
      <c r="A9" s="3" t="s">
        <v>11</v>
      </c>
      <c r="B9" s="2">
        <v>1.71578117</v>
      </c>
      <c r="C9" s="2">
        <v>1.16</v>
      </c>
    </row>
    <row r="10" ht="15.75" customHeight="1">
      <c r="A10" s="3" t="s">
        <v>12</v>
      </c>
      <c r="B10" s="5">
        <v>1.779564315</v>
      </c>
      <c r="C10" s="3">
        <f>1.37/2</f>
        <v>0.685</v>
      </c>
    </row>
    <row r="11" ht="15.75" customHeight="1">
      <c r="A11" s="3" t="s">
        <v>13</v>
      </c>
      <c r="B11" s="2">
        <v>15.04174849</v>
      </c>
      <c r="C11" s="3">
        <f>3.79/2</f>
        <v>1.895</v>
      </c>
    </row>
    <row r="12" ht="15.75" customHeight="1">
      <c r="A12" s="3" t="s">
        <v>14</v>
      </c>
      <c r="B12" s="5">
        <v>15.17252464</v>
      </c>
      <c r="C12" s="2">
        <v>0.2</v>
      </c>
    </row>
    <row r="13" ht="15.75" customHeight="1">
      <c r="A13" s="3" t="s">
        <v>15</v>
      </c>
      <c r="B13" s="5">
        <v>33.92899437</v>
      </c>
      <c r="C13" s="2">
        <v>0.067190933</v>
      </c>
    </row>
    <row r="14" ht="15.75" customHeight="1">
      <c r="A14" s="3" t="s">
        <v>16</v>
      </c>
      <c r="B14" s="5">
        <v>2.372387208</v>
      </c>
      <c r="C14" s="3">
        <f>1.4/B14*0.5</f>
        <v>0.295061446</v>
      </c>
    </row>
    <row r="15" ht="15.75" customHeight="1">
      <c r="A15" s="3" t="s">
        <v>17</v>
      </c>
      <c r="B15" s="5">
        <v>0.483299929</v>
      </c>
      <c r="C15" s="3">
        <f>25/1000/B15*0.5</f>
        <v>0.02586385648</v>
      </c>
    </row>
    <row r="16" ht="15.75" customHeight="1">
      <c r="A16" s="3" t="s">
        <v>18</v>
      </c>
      <c r="B16" s="5">
        <v>1.757527533</v>
      </c>
      <c r="C16" s="5">
        <v>0.18</v>
      </c>
    </row>
    <row r="17" ht="15.75" customHeight="1">
      <c r="A17" s="3" t="s">
        <v>19</v>
      </c>
      <c r="B17" s="2">
        <v>1.561589927</v>
      </c>
      <c r="C17" s="5">
        <v>0.18</v>
      </c>
      <c r="D17" s="2" t="s">
        <v>20</v>
      </c>
    </row>
    <row r="18" ht="15.75" customHeight="1">
      <c r="A18" s="3" t="s">
        <v>21</v>
      </c>
      <c r="B18" s="5">
        <v>2.516327115</v>
      </c>
      <c r="C18" s="5">
        <v>0.18</v>
      </c>
      <c r="D18" s="2" t="s">
        <v>20</v>
      </c>
    </row>
    <row r="19" ht="15.75" customHeight="1">
      <c r="A19" s="3" t="s">
        <v>22</v>
      </c>
      <c r="B19" s="2">
        <v>77.90090388</v>
      </c>
      <c r="C19" s="2">
        <v>0.29</v>
      </c>
      <c r="D19" s="2" t="s">
        <v>20</v>
      </c>
    </row>
    <row r="20" ht="15.75" customHeight="1">
      <c r="A20" s="3" t="s">
        <v>23</v>
      </c>
      <c r="B20" s="2">
        <v>14.0</v>
      </c>
      <c r="C20" s="2">
        <v>0.1</v>
      </c>
    </row>
    <row r="21" ht="15.75" customHeight="1">
      <c r="A21" s="3" t="s">
        <v>24</v>
      </c>
      <c r="B21" s="2">
        <v>0.289509417</v>
      </c>
      <c r="C21" s="3">
        <f>1.9*0.5</f>
        <v>0.95</v>
      </c>
    </row>
    <row r="22" ht="15.75" customHeight="1">
      <c r="A22" s="3" t="s">
        <v>25</v>
      </c>
      <c r="B22" s="5">
        <v>33.22602212</v>
      </c>
      <c r="C22" s="2">
        <v>0.6</v>
      </c>
    </row>
    <row r="23" ht="15.75" customHeight="1">
      <c r="A23" s="3" t="s">
        <v>26</v>
      </c>
      <c r="B23" s="2">
        <v>1.622909507</v>
      </c>
      <c r="C23" s="2">
        <v>1.1</v>
      </c>
    </row>
    <row r="24" ht="15.75" customHeight="1">
      <c r="A24" s="3" t="s">
        <v>27</v>
      </c>
      <c r="B24" s="5">
        <v>2.844523075</v>
      </c>
      <c r="C24" s="5">
        <v>0.771</v>
      </c>
    </row>
    <row r="25" ht="15.75" customHeight="1">
      <c r="A25" s="3" t="s">
        <v>28</v>
      </c>
      <c r="B25" s="5">
        <v>9.714975845</v>
      </c>
      <c r="C25" s="2">
        <v>0.6</v>
      </c>
    </row>
    <row r="26" ht="15.75" customHeight="1">
      <c r="A26" s="3" t="s">
        <v>29</v>
      </c>
      <c r="B26" s="5">
        <v>14.48688873</v>
      </c>
      <c r="C26" s="3">
        <f>(2.22 + 1.04 + 2.4)/B26*0.5</f>
        <v>0.1953490534</v>
      </c>
    </row>
    <row r="27" ht="15.75" customHeight="1">
      <c r="A27" s="3" t="s">
        <v>30</v>
      </c>
      <c r="B27" s="5">
        <v>14.40416555</v>
      </c>
      <c r="C27" s="3">
        <f>(1.853+2.78+1.483)/B27*0.5</f>
        <v>0.2122996983</v>
      </c>
    </row>
    <row r="28" ht="15.75" customHeight="1">
      <c r="A28" s="3" t="s">
        <v>31</v>
      </c>
      <c r="B28" s="5">
        <v>8.967028015</v>
      </c>
      <c r="C28" s="2">
        <v>0.6</v>
      </c>
    </row>
    <row r="29" ht="15.75" customHeight="1">
      <c r="A29" s="3" t="s">
        <v>32</v>
      </c>
      <c r="B29" s="5">
        <v>3.481343284</v>
      </c>
      <c r="C29" s="5">
        <f>1.1*0.5</f>
        <v>0.55</v>
      </c>
    </row>
    <row r="30" ht="15.75" customHeight="1">
      <c r="A30" s="3" t="s">
        <v>33</v>
      </c>
      <c r="B30" s="5">
        <v>0.3114375209</v>
      </c>
      <c r="C30" s="3">
        <f>1.8*0.5</f>
        <v>0.9</v>
      </c>
    </row>
    <row r="31" ht="15.75" customHeight="1">
      <c r="A31" s="3" t="s">
        <v>34</v>
      </c>
      <c r="B31" s="5">
        <v>1.176099223</v>
      </c>
      <c r="C31" s="5">
        <v>0.496209831</v>
      </c>
    </row>
    <row r="32" ht="15.75" customHeight="1">
      <c r="A32" s="3" t="s">
        <v>35</v>
      </c>
      <c r="B32" s="5">
        <v>10.40927218</v>
      </c>
      <c r="C32" s="3">
        <f>2.5/B32*0.5</f>
        <v>0.120085245</v>
      </c>
    </row>
    <row r="33" ht="15.75" customHeight="1">
      <c r="A33" s="3" t="s">
        <v>36</v>
      </c>
      <c r="B33" s="2">
        <v>2.093983553</v>
      </c>
      <c r="C33" s="3">
        <f>2.27*0.5</f>
        <v>1.135</v>
      </c>
    </row>
    <row r="34" ht="15.75" customHeight="1">
      <c r="A34" s="3" t="s">
        <v>37</v>
      </c>
      <c r="B34" s="2">
        <v>1.619342597</v>
      </c>
      <c r="C34" s="3">
        <f>(0.7 + 3.5)/2*0.5</f>
        <v>1.05</v>
      </c>
    </row>
    <row r="35" ht="15.75" customHeight="1">
      <c r="A35" s="3" t="s">
        <v>38</v>
      </c>
      <c r="B35" s="5">
        <v>25.89153007</v>
      </c>
      <c r="C35" s="2">
        <v>0.125</v>
      </c>
    </row>
    <row r="36" ht="15.75" customHeight="1">
      <c r="A36" s="3" t="s">
        <v>39</v>
      </c>
      <c r="B36" s="5">
        <v>0.261099038</v>
      </c>
      <c r="C36" s="2">
        <f>0.75*0.5</f>
        <v>0.375</v>
      </c>
    </row>
    <row r="37" ht="15.75" customHeight="1">
      <c r="A37" s="3" t="s">
        <v>40</v>
      </c>
      <c r="B37" s="5">
        <v>0.8888888889</v>
      </c>
      <c r="C37" s="2">
        <v>1.0</v>
      </c>
    </row>
    <row r="38" ht="15.75" customHeight="1">
      <c r="A38" s="3" t="s">
        <v>41</v>
      </c>
      <c r="B38" s="5">
        <v>30.65944918</v>
      </c>
      <c r="C38" s="3">
        <f>0.35*0.5</f>
        <v>0.175</v>
      </c>
    </row>
    <row r="39" ht="15.75" customHeight="1">
      <c r="A39" s="3" t="s">
        <v>42</v>
      </c>
      <c r="B39" s="2">
        <v>25.95384986</v>
      </c>
      <c r="C39" s="3">
        <f>(0.19+0.4)/2*0.5</f>
        <v>0.1475</v>
      </c>
    </row>
    <row r="40" ht="15.75" customHeight="1">
      <c r="A40" s="3" t="s">
        <v>43</v>
      </c>
      <c r="B40" s="5">
        <v>0.7484477261</v>
      </c>
      <c r="C40" s="2">
        <v>1.005</v>
      </c>
    </row>
    <row r="41" ht="15.75" customHeight="1">
      <c r="A41" s="3" t="s">
        <v>44</v>
      </c>
      <c r="B41" s="5">
        <v>35.48755921</v>
      </c>
      <c r="C41" s="2">
        <v>0.235</v>
      </c>
    </row>
    <row r="42" ht="15.75" customHeight="1">
      <c r="A42" s="3" t="s">
        <v>45</v>
      </c>
      <c r="B42" s="5">
        <v>1.358063083</v>
      </c>
      <c r="C42" s="3">
        <f>(0.537+0.579)/2*0.5</f>
        <v>0.279</v>
      </c>
    </row>
    <row r="43" ht="15.75" customHeight="1">
      <c r="A43" s="3" t="s">
        <v>46</v>
      </c>
      <c r="B43" s="2">
        <v>42.37473974</v>
      </c>
      <c r="C43" s="2">
        <v>0.11</v>
      </c>
    </row>
    <row r="44" ht="15.75" customHeight="1">
      <c r="A44" s="3" t="s">
        <v>47</v>
      </c>
      <c r="B44" s="5">
        <v>0.879970575</v>
      </c>
      <c r="C44" s="3">
        <f>1.8*0.5</f>
        <v>0.9</v>
      </c>
    </row>
    <row r="45" ht="15.75" customHeight="1">
      <c r="A45" s="3" t="s">
        <v>48</v>
      </c>
      <c r="B45" s="2">
        <v>15.45454179</v>
      </c>
      <c r="C45" s="6">
        <v>0.54175</v>
      </c>
    </row>
    <row r="46" ht="15.75" customHeight="1">
      <c r="A46" s="3" t="s">
        <v>49</v>
      </c>
      <c r="B46" s="5">
        <v>21.84947493</v>
      </c>
      <c r="C46" s="2">
        <v>0.21</v>
      </c>
    </row>
    <row r="47" ht="15.75" customHeight="1">
      <c r="A47" s="3" t="s">
        <v>50</v>
      </c>
      <c r="B47" s="5">
        <v>15.54741013</v>
      </c>
      <c r="C47" s="2">
        <v>0.1</v>
      </c>
    </row>
    <row r="48" ht="15.75" customHeight="1">
      <c r="A48" s="3" t="s">
        <v>51</v>
      </c>
      <c r="B48" s="5">
        <v>7.4</v>
      </c>
      <c r="C48" s="2">
        <v>0.2</v>
      </c>
    </row>
    <row r="49" ht="15.75" customHeight="1">
      <c r="A49" s="3" t="s">
        <v>52</v>
      </c>
      <c r="B49" s="5">
        <v>22.03364772</v>
      </c>
      <c r="C49" s="2">
        <v>0.1</v>
      </c>
    </row>
    <row r="50" ht="15.75" customHeight="1">
      <c r="A50" s="3" t="s">
        <v>53</v>
      </c>
      <c r="B50" s="5">
        <v>28.26336537</v>
      </c>
      <c r="C50" s="2">
        <v>0.1</v>
      </c>
    </row>
    <row r="51" ht="15.75" customHeight="1">
      <c r="A51" s="3" t="s">
        <v>54</v>
      </c>
      <c r="B51" s="2">
        <v>5.913047361</v>
      </c>
      <c r="C51" s="5">
        <v>0.572537238</v>
      </c>
    </row>
    <row r="52" ht="15.75" customHeight="1">
      <c r="A52" s="3" t="s">
        <v>55</v>
      </c>
      <c r="B52" s="5">
        <v>1.514526316</v>
      </c>
      <c r="C52" s="3">
        <f>(0.66+0.44)*0.5</f>
        <v>0.55</v>
      </c>
    </row>
    <row r="53" ht="15.75" customHeight="1">
      <c r="A53" s="3" t="s">
        <v>56</v>
      </c>
      <c r="B53" s="5">
        <v>3.974466994</v>
      </c>
      <c r="C53" s="3">
        <v>0.21229969826332631</v>
      </c>
    </row>
    <row r="54" ht="15.75" customHeight="1">
      <c r="A54" s="3" t="s">
        <v>57</v>
      </c>
      <c r="B54" s="2">
        <v>15.38861629</v>
      </c>
      <c r="C54" s="3">
        <f>(0.14 + 0.3)*0.5</f>
        <v>0.22</v>
      </c>
    </row>
    <row r="55" ht="15.75" customHeight="1">
      <c r="A55" s="3" t="s">
        <v>58</v>
      </c>
      <c r="B55" s="5">
        <v>12.84666581</v>
      </c>
      <c r="C55" s="2">
        <v>0.2</v>
      </c>
    </row>
    <row r="56" ht="15.75" customHeight="1">
      <c r="A56" s="3" t="s">
        <v>59</v>
      </c>
      <c r="B56" s="2">
        <v>3.08458051</v>
      </c>
      <c r="C56" s="3">
        <f>(100-37)/100*0.5</f>
        <v>0.315</v>
      </c>
    </row>
    <row r="57" ht="15.75" customHeight="1">
      <c r="A57" s="3" t="s">
        <v>60</v>
      </c>
      <c r="B57" s="2">
        <v>1.5</v>
      </c>
      <c r="C57" s="3">
        <f>0.9*B57*0.5</f>
        <v>0.675</v>
      </c>
    </row>
    <row r="58" ht="15.75" customHeight="1">
      <c r="A58" s="3" t="s">
        <v>61</v>
      </c>
      <c r="B58" s="5">
        <v>0.92238126</v>
      </c>
      <c r="C58" s="3">
        <f>0.92*0.5</f>
        <v>0.46</v>
      </c>
    </row>
    <row r="59" ht="15.75" customHeight="1">
      <c r="A59" s="3" t="s">
        <v>62</v>
      </c>
      <c r="B59" s="5">
        <v>3.425317946</v>
      </c>
      <c r="C59" s="2">
        <v>0.67716836</v>
      </c>
    </row>
    <row r="60" ht="15.75" customHeight="1">
      <c r="A60" s="3" t="s">
        <v>63</v>
      </c>
      <c r="B60" s="5">
        <v>3.345932931</v>
      </c>
      <c r="C60" s="2">
        <v>0.671497613</v>
      </c>
    </row>
    <row r="61" ht="15.75" customHeight="1">
      <c r="A61" s="3" t="s">
        <v>64</v>
      </c>
      <c r="B61" s="5">
        <v>19.00209481</v>
      </c>
      <c r="C61" s="3">
        <f>(0.27+0.5)/2*0.5</f>
        <v>0.1925</v>
      </c>
    </row>
    <row r="62" ht="15.75" customHeight="1">
      <c r="A62" s="3" t="s">
        <v>65</v>
      </c>
      <c r="B62" s="5">
        <v>70.59849178</v>
      </c>
      <c r="C62" s="2">
        <v>0.15</v>
      </c>
    </row>
    <row r="63" ht="15.75" customHeight="1">
      <c r="A63" s="3" t="s">
        <v>66</v>
      </c>
      <c r="B63" s="5">
        <v>2.321166573</v>
      </c>
      <c r="C63" s="2">
        <v>1.66</v>
      </c>
    </row>
    <row r="64" ht="15.75" customHeight="1">
      <c r="A64" s="3" t="s">
        <v>67</v>
      </c>
      <c r="B64" s="2">
        <v>2.396339231</v>
      </c>
      <c r="C64" s="2">
        <v>0.83</v>
      </c>
    </row>
    <row r="65" ht="15.75" customHeight="1">
      <c r="A65" s="3" t="s">
        <v>68</v>
      </c>
      <c r="B65" s="5">
        <v>4.297297297</v>
      </c>
      <c r="C65" s="3">
        <f>(0.66+0.44)*0.5</f>
        <v>0.55</v>
      </c>
    </row>
    <row r="66" ht="15.75" customHeight="1">
      <c r="A66" s="3" t="s">
        <v>69</v>
      </c>
      <c r="B66" s="5">
        <v>1.127155172</v>
      </c>
      <c r="C66" s="3">
        <f>0.85*0.5</f>
        <v>0.425</v>
      </c>
      <c r="D66" s="2" t="s">
        <v>70</v>
      </c>
    </row>
    <row r="67" ht="15.75" customHeight="1">
      <c r="A67" s="3" t="s">
        <v>71</v>
      </c>
      <c r="B67" s="5">
        <v>23.36640289</v>
      </c>
      <c r="C67" s="2">
        <v>0.305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2025-11-23T22:44:11Z</dcterms:created>
  <dc:creator>Mimi Ellin</dc:creator>
</cp:coreProperties>
</file>